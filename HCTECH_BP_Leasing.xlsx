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Hypothèses" sheetId="2" state="visible" r:id="rId2"/>
    <sheet xmlns:r="http://schemas.openxmlformats.org/officeDocument/2006/relationships" name="Économie machine" sheetId="3" state="visible" r:id="rId3"/>
    <sheet xmlns:r="http://schemas.openxmlformats.org/officeDocument/2006/relationships" name="État de résultat" sheetId="4" state="visible" r:id="rId4"/>
    <sheet xmlns:r="http://schemas.openxmlformats.org/officeDocument/2006/relationships" name="Bilan" sheetId="5" state="visible" r:id="rId5"/>
    <sheet xmlns:r="http://schemas.openxmlformats.org/officeDocument/2006/relationships" name="Flux de trésorerie" sheetId="6" state="visible" r:id="rId6"/>
    <sheet xmlns:r="http://schemas.openxmlformats.org/officeDocument/2006/relationships" name="Ratios financiers" sheetId="7" state="visible" r:id="rId7"/>
    <sheet xmlns:r="http://schemas.openxmlformats.org/officeDocument/2006/relationships" name="Capacité leasing" sheetId="8" state="visible" r:id="rId8"/>
    <sheet xmlns:r="http://schemas.openxmlformats.org/officeDocument/2006/relationships" name="Dividendes" sheetId="9" state="visible" r:id="rId9"/>
    <sheet xmlns:r="http://schemas.openxmlformats.org/officeDocument/2006/relationships" name="Notes" sheetId="10" state="visible" r:id="rId10"/>
    <sheet xmlns:r="http://schemas.openxmlformats.org/officeDocument/2006/relationships" name="Synthèse" sheetId="11" state="visible" r:id="rId11"/>
    <sheet xmlns:r="http://schemas.openxmlformats.org/officeDocument/2006/relationships" name="Calcul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0.0%"/>
    <numFmt numFmtId="166" formatCode="#,##0 &quot;DT&quot;"/>
    <numFmt numFmtId="167" formatCode="0.0&quot;×&quot;"/>
    <numFmt numFmtId="168" formatCode="#,##0 &quot;L&quot;"/>
  </numFmts>
  <fonts count="22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808080"/>
      <sz val="10"/>
    </font>
    <font>
      <name val="Calibri"/>
      <color rgb="00333333"/>
      <sz val="10"/>
    </font>
    <font>
      <name val="Calibri"/>
      <b val="1"/>
      <color rgb="001F3864"/>
      <sz val="10"/>
    </font>
    <font>
      <name val="Calibri"/>
      <color rgb="00808080"/>
      <sz val="9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FFFFFF"/>
      <sz val="8"/>
    </font>
    <font>
      <color rgb="00333333"/>
      <sz val="8"/>
    </font>
    <font>
      <name val="Calibri"/>
      <b val="1"/>
      <color rgb="00FFFFFF"/>
      <sz val="10"/>
    </font>
    <font>
      <name val="Calibri"/>
      <b val="1"/>
      <color rgb="00333333"/>
      <sz val="10"/>
    </font>
    <font>
      <name val="Calibri"/>
      <color rgb="00808080"/>
      <sz val="10"/>
    </font>
    <font>
      <name val="Calibri"/>
      <b val="1"/>
      <color rgb="001A7A4A"/>
      <sz val="10"/>
    </font>
    <font>
      <name val="Calibri"/>
      <b val="1"/>
      <color rgb="001F3864"/>
      <sz val="11"/>
    </font>
    <font>
      <name val="Calibri"/>
      <b val="1"/>
      <color rgb="002E75B6"/>
      <sz val="10"/>
    </font>
    <font>
      <name val="Calibri"/>
      <b val="1"/>
      <color rgb="001F3864"/>
      <sz val="26"/>
    </font>
    <font>
      <name val="Calibri"/>
      <color rgb="002E75B6"/>
      <sz val="13"/>
    </font>
    <font>
      <name val="Calibri"/>
      <b val="1"/>
      <color rgb="001A7A4A"/>
      <sz val="16"/>
    </font>
    <font>
      <name val="Calibri"/>
      <i val="1"/>
      <color rgb="00808080"/>
      <sz val="11"/>
    </font>
    <font>
      <name val="Calibri"/>
      <b val="1"/>
      <color rgb="001F3864"/>
      <sz val="12"/>
    </font>
    <font>
      <name val="Calibri"/>
      <color rgb="00333333"/>
      <sz val="11"/>
    </font>
  </fonts>
  <fills count="9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EAF1F9"/>
      </patternFill>
    </fill>
    <fill>
      <patternFill patternType="solid">
        <fgColor rgb="00D7EFE2"/>
      </patternFill>
    </fill>
    <fill>
      <patternFill patternType="solid">
        <fgColor rgb="001A7A4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3" fontId="20" fillId="6" borderId="1" applyAlignment="1" pivotButton="0" quotePrefix="0" xfId="0">
      <alignment horizontal="right" vertical="center"/>
    </xf>
    <xf numFmtId="166" fontId="20" fillId="6" borderId="1" applyAlignment="1" pivotButton="0" quotePrefix="0" xfId="0">
      <alignment horizontal="right" vertical="center"/>
    </xf>
    <xf numFmtId="167" fontId="20" fillId="6" borderId="1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4" borderId="0" applyAlignment="1" pivotButton="0" quotePrefix="0" xfId="0">
      <alignment horizontal="left" vertical="center"/>
    </xf>
    <xf numFmtId="164" fontId="4" fillId="2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3" fontId="4" fillId="2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66" fontId="4" fillId="6" borderId="1" applyAlignment="1" pivotButton="0" quotePrefix="0" xfId="0">
      <alignment horizontal="right" vertical="center"/>
    </xf>
    <xf numFmtId="168" fontId="4" fillId="6" borderId="1" applyAlignment="1" pivotButton="0" quotePrefix="0" xfId="0">
      <alignment horizontal="right" vertical="center"/>
    </xf>
    <xf numFmtId="0" fontId="11" fillId="0" borderId="0" applyAlignment="1" pivotButton="0" quotePrefix="0" xfId="0">
      <alignment vertical="center"/>
    </xf>
    <xf numFmtId="166" fontId="13" fillId="7" borderId="1" applyAlignment="1" pivotButton="0" quotePrefix="0" xfId="0">
      <alignment horizontal="right" vertical="center"/>
    </xf>
    <xf numFmtId="167" fontId="15" fillId="2" borderId="1" applyAlignment="1" pivotButton="0" quotePrefix="0" xfId="0">
      <alignment horizontal="right" vertical="center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3" fontId="12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1" fillId="6" borderId="0" applyAlignment="1" pivotButton="0" quotePrefix="0" xfId="0">
      <alignment vertical="center"/>
    </xf>
    <xf numFmtId="3" fontId="11" fillId="6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13" fillId="7" borderId="0" applyAlignment="1" pivotButton="0" quotePrefix="0" xfId="0">
      <alignment vertical="center"/>
    </xf>
    <xf numFmtId="3" fontId="13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3" fontId="4" fillId="0" borderId="1" applyAlignment="1" pivotButton="0" quotePrefix="0" xfId="0">
      <alignment horizontal="right" vertical="center"/>
    </xf>
    <xf numFmtId="0" fontId="7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vertical="center"/>
    </xf>
    <xf numFmtId="0" fontId="7" fillId="8" borderId="0" applyAlignment="1" pivotButton="0" quotePrefix="0" xfId="0">
      <alignment horizontal="left" vertical="center"/>
    </xf>
    <xf numFmtId="165" fontId="12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7" fontId="13" fillId="7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9" fontId="13" fillId="7" borderId="1" applyAlignment="1" pivotButton="0" quotePrefix="0" xfId="0">
      <alignment horizontal="right" vertical="center"/>
    </xf>
    <xf numFmtId="3" fontId="5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165" fontId="4" fillId="6" borderId="1" applyAlignment="1" pivotButton="0" quotePrefix="0" xfId="0">
      <alignment horizontal="right" vertical="center"/>
    </xf>
    <xf numFmtId="167" fontId="4" fillId="6" borderId="1" applyAlignment="1" pivotButton="0" quotePrefix="0" xfId="0">
      <alignment horizontal="right" vertical="center"/>
    </xf>
    <xf numFmtId="9" fontId="4" fillId="6" borderId="1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 wrapText="1"/>
    </xf>
    <xf numFmtId="3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8:D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0" customWidth="1" min="3" max="3"/>
    <col width="30" customWidth="1" min="4" max="4"/>
    <col width="6" customWidth="1" min="5" max="5"/>
  </cols>
  <sheetData>
    <row r="8">
      <c r="B8" s="1" t="inlineStr">
        <is>
          <t>HCTech SARL</t>
        </is>
      </c>
    </row>
    <row r="9">
      <c r="B9" s="2" t="inlineStr">
        <is>
          <t>Récupération des vapeurs d'essence en station-service</t>
        </is>
      </c>
    </row>
    <row r="11">
      <c r="B11" s="3" t="inlineStr">
        <is>
          <t>Business Plan &amp; Dossier de financement — Leasing</t>
        </is>
      </c>
    </row>
    <row r="12">
      <c r="B12" s="4" t="inlineStr">
        <is>
          <t>Modèle Revenue Share 60 / 40 · Machines financées en leasing · Horizon 7 ans</t>
        </is>
      </c>
    </row>
    <row r="14">
      <c r="B14" s="5" t="inlineStr">
        <is>
          <t>Points clés</t>
        </is>
      </c>
    </row>
    <row r="15">
      <c r="B15" s="6" t="inlineStr">
        <is>
          <t>Parc cible (An 7)</t>
        </is>
      </c>
      <c r="C15" s="7">
        <f>'Synthèse'!C5</f>
        <v/>
      </c>
    </row>
    <row r="16">
      <c r="B16" s="6" t="inlineStr">
        <is>
          <t>Résultat net cumulé (7 ans)</t>
        </is>
      </c>
      <c r="C16" s="8">
        <f>'Synthèse'!C8</f>
        <v/>
      </c>
    </row>
    <row r="17">
      <c r="B17" s="6" t="inlineStr">
        <is>
          <t>Couverture du loyer / machine</t>
        </is>
      </c>
      <c r="C17" s="9">
        <f>'Synthèse'!C13</f>
        <v/>
      </c>
    </row>
    <row r="18">
      <c r="B18" s="6" t="inlineStr">
        <is>
          <t>DSCR minimum</t>
        </is>
      </c>
      <c r="C18" s="9">
        <f>'Synthèse'!C14</f>
        <v/>
      </c>
    </row>
    <row r="19">
      <c r="B19" s="6" t="inlineStr">
        <is>
          <t>Trésorerie minimale</t>
        </is>
      </c>
      <c r="C19" s="8">
        <f>'Synthèse'!C9</f>
        <v/>
      </c>
    </row>
    <row r="20">
      <c r="B20" s="6" t="inlineStr">
        <is>
          <t>Dette bancaire</t>
        </is>
      </c>
      <c r="C20" s="8">
        <f>0</f>
        <v/>
      </c>
    </row>
    <row r="23">
      <c r="B23" s="10" t="inlineStr">
        <is>
          <t>Société à Responsabilité Limitée — RNE : 1953633L — 01 av. Hedi Khefacha, 2080 Ariana</t>
        </is>
      </c>
    </row>
    <row r="25">
      <c r="B25" s="11" t="inlineStr">
        <is>
          <t>Document confidentiel — réservé aux établissements de leasing et partenaires financiers identifiés.</t>
        </is>
      </c>
    </row>
    <row r="26">
      <c r="B26" s="11" t="inlineStr">
        <is>
          <t>Préparé par Mohamed Ridha Belajouza, consultant et conseiller stratégique.</t>
        </is>
      </c>
    </row>
  </sheetData>
  <mergeCells count="13">
    <mergeCell ref="B11:D11"/>
    <mergeCell ref="C20:D20"/>
    <mergeCell ref="C16:D16"/>
    <mergeCell ref="C15:D15"/>
    <mergeCell ref="B23:D23"/>
    <mergeCell ref="B8:D8"/>
    <mergeCell ref="B25:D25"/>
    <mergeCell ref="C19:D19"/>
    <mergeCell ref="B26:D26"/>
    <mergeCell ref="B9:D9"/>
    <mergeCell ref="C18:D18"/>
    <mergeCell ref="B12:D12"/>
    <mergeCell ref="C17:D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6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12" customWidth="1" min="4" max="4"/>
    <col width="46" customWidth="1" min="5" max="5"/>
  </cols>
  <sheetData>
    <row r="1" ht="22" customHeight="1">
      <c r="B1" s="12" t="inlineStr">
        <is>
          <t>Hypothèses du modèle</t>
        </is>
      </c>
    </row>
    <row r="2">
      <c r="B2" s="13" t="inlineStr">
        <is>
          <t>Toutes les cellules bleues sont modifiables — le classeur entier se recalcule automatiquement.</t>
        </is>
      </c>
    </row>
    <row r="4" ht="18" customHeight="1">
      <c r="B4" s="14" t="inlineStr">
        <is>
          <t xml:space="preserve">  PARAMÈTRES MACHINE &amp; LEASING</t>
        </is>
      </c>
    </row>
    <row r="5">
      <c r="B5" s="10" t="inlineStr">
        <is>
          <t>Taux de change USD / TND</t>
        </is>
      </c>
      <c r="C5" s="15" t="n">
        <v>2.95</v>
      </c>
      <c r="D5" s="16" t="inlineStr"/>
      <c r="E5" s="17" t="inlineStr">
        <is>
          <t>Cours de référence</t>
        </is>
      </c>
    </row>
    <row r="6">
      <c r="B6" s="10" t="inlineStr">
        <is>
          <t>Prix machine (départ usine)</t>
        </is>
      </c>
      <c r="C6" s="18" t="n">
        <v>18000</v>
      </c>
      <c r="D6" s="16" t="inlineStr">
        <is>
          <t>USD</t>
        </is>
      </c>
      <c r="E6" s="17" t="inlineStr">
        <is>
          <t>Fournisseur GEKO (Corée)</t>
        </is>
      </c>
    </row>
    <row r="7">
      <c r="B7" s="10" t="inlineStr">
        <is>
          <t>Frais d'import</t>
        </is>
      </c>
      <c r="C7" s="19" t="n">
        <v>0.025</v>
      </c>
      <c r="D7" s="16" t="inlineStr">
        <is>
          <t>%</t>
        </is>
      </c>
      <c r="E7" s="17" t="inlineStr">
        <is>
          <t>Droits + transit</t>
        </is>
      </c>
    </row>
    <row r="8">
      <c r="B8" s="10" t="inlineStr">
        <is>
          <t>Installation</t>
        </is>
      </c>
      <c r="C8" s="18" t="n">
        <v>3500</v>
      </c>
      <c r="D8" s="16" t="inlineStr">
        <is>
          <t>DT</t>
        </is>
      </c>
      <c r="E8" s="17" t="inlineStr">
        <is>
          <t>Prestataire local</t>
        </is>
      </c>
    </row>
    <row r="9">
      <c r="B9" s="10" t="inlineStr">
        <is>
          <t>Coût machine tout compris (HT)</t>
        </is>
      </c>
      <c r="C9" s="20">
        <f>C6*C5*(1+C7)+C8</f>
        <v/>
      </c>
      <c r="D9" s="16" t="inlineStr">
        <is>
          <t>DT</t>
        </is>
      </c>
      <c r="E9" s="17" t="inlineStr">
        <is>
          <t>Base de l'opération de leasing</t>
        </is>
      </c>
    </row>
    <row r="10">
      <c r="B10" s="10" t="inlineStr">
        <is>
          <t>Taux de leasing machine</t>
        </is>
      </c>
      <c r="C10" s="15" t="n">
        <v>0.12</v>
      </c>
      <c r="D10" s="16" t="inlineStr">
        <is>
          <t>%/an</t>
        </is>
      </c>
      <c r="E10" s="17" t="inlineStr">
        <is>
          <t>Marché tunisien (plafond usure 16,28 %)</t>
        </is>
      </c>
    </row>
    <row r="11">
      <c r="B11" s="10" t="inlineStr">
        <is>
          <t>Durée du leasing machine</t>
        </is>
      </c>
      <c r="C11" s="15" t="n">
        <v>5</v>
      </c>
      <c r="D11" s="16" t="inlineStr">
        <is>
          <t>ans</t>
        </is>
      </c>
      <c r="E11" s="17" t="inlineStr">
        <is>
          <t>Règle Tunisie : leasing équipement 5 ans</t>
        </is>
      </c>
    </row>
    <row r="12">
      <c r="B12" s="10" t="inlineStr">
        <is>
          <t>Mensualité leasing / machine</t>
        </is>
      </c>
      <c r="C12" s="20">
        <f>C9*(C10/12)/(1-(1+C10/12)^(-C11*12))</f>
        <v/>
      </c>
      <c r="D12" s="16" t="inlineStr">
        <is>
          <t>DT</t>
        </is>
      </c>
      <c r="E12" s="17" t="inlineStr">
        <is>
          <t>Annuité constante</t>
        </is>
      </c>
    </row>
    <row r="13">
      <c r="B13" s="10" t="inlineStr">
        <is>
          <t>Loyer leasing annuel / machine</t>
        </is>
      </c>
      <c r="C13" s="20">
        <f>C12*12</f>
        <v/>
      </c>
      <c r="D13" s="16" t="inlineStr">
        <is>
          <t>DT/an</t>
        </is>
      </c>
      <c r="E13" s="17" t="inlineStr">
        <is>
          <t>Pendant 5 ans, puis 0</t>
        </is>
      </c>
    </row>
    <row r="14">
      <c r="B14" s="10" t="inlineStr">
        <is>
          <t>Maintenance + internet / machine</t>
        </is>
      </c>
      <c r="C14" s="18" t="n">
        <v>120</v>
      </c>
      <c r="D14" s="16" t="inlineStr">
        <is>
          <t>DT/mois</t>
        </is>
      </c>
      <c r="E14" s="17" t="inlineStr">
        <is>
          <t>OPEX par machine</t>
        </is>
      </c>
    </row>
    <row r="16" ht="18" customHeight="1">
      <c r="B16" s="14" t="inlineStr">
        <is>
          <t xml:space="preserve">  REVENUS PAR MACHINE</t>
        </is>
      </c>
    </row>
    <row r="17">
      <c r="B17" s="10" t="inlineStr">
        <is>
          <t>Volume station cible</t>
        </is>
      </c>
      <c r="C17" s="18" t="n">
        <v>12000</v>
      </c>
      <c r="D17" s="16" t="inlineStr">
        <is>
          <t>L/jour</t>
        </is>
      </c>
      <c r="E17" s="17" t="inlineStr">
        <is>
          <t>Stations ≥ 12 000 L/j (~60 % du parc)</t>
        </is>
      </c>
    </row>
    <row r="18">
      <c r="B18" s="10" t="inlineStr">
        <is>
          <t>Taux de récupération</t>
        </is>
      </c>
      <c r="C18" s="15" t="n">
        <v>5</v>
      </c>
      <c r="D18" s="16" t="inlineStr">
        <is>
          <t>/1000</t>
        </is>
      </c>
      <c r="E18" s="17" t="inlineStr">
        <is>
          <t>Hypothèse médiane (fourchette 3–7/1000)</t>
        </is>
      </c>
    </row>
    <row r="19">
      <c r="B19" s="10" t="inlineStr">
        <is>
          <t>Essence récupérée / machine</t>
        </is>
      </c>
      <c r="C19" s="20">
        <f>C17*C18/1000</f>
        <v/>
      </c>
      <c r="D19" s="16" t="inlineStr">
        <is>
          <t>L/jour</t>
        </is>
      </c>
      <c r="E19" s="17" t="inlineStr">
        <is>
          <t>volume × taux</t>
        </is>
      </c>
    </row>
    <row r="20">
      <c r="B20" s="10" t="inlineStr">
        <is>
          <t>Prix de l'essence (An 1)</t>
        </is>
      </c>
      <c r="C20" s="15" t="n">
        <v>2.525</v>
      </c>
      <c r="D20" s="16" t="inlineStr">
        <is>
          <t>DT/L</t>
        </is>
      </c>
      <c r="E20" s="17" t="inlineStr">
        <is>
          <t>Prix à la pompe</t>
        </is>
      </c>
    </row>
    <row r="21">
      <c r="B21" s="10" t="inlineStr">
        <is>
          <t>Hausse du prix de l'essence</t>
        </is>
      </c>
      <c r="C21" s="15" t="n">
        <v>0.045</v>
      </c>
      <c r="D21" s="16" t="inlineStr">
        <is>
          <t>%/an</t>
        </is>
      </c>
      <c r="E21" s="17" t="inlineStr">
        <is>
          <t>CAGR réel 2016–2026</t>
        </is>
      </c>
    </row>
    <row r="22">
      <c r="B22" s="10" t="inlineStr">
        <is>
          <t>Part HCTECH (revenue share)</t>
        </is>
      </c>
      <c r="C22" s="19" t="n">
        <v>0.6</v>
      </c>
      <c r="D22" s="16" t="inlineStr">
        <is>
          <t>%</t>
        </is>
      </c>
      <c r="E22" s="17" t="inlineStr">
        <is>
          <t>Partage 60 / 40</t>
        </is>
      </c>
    </row>
    <row r="23">
      <c r="B23" s="10" t="inlineStr">
        <is>
          <t>Part station</t>
        </is>
      </c>
      <c r="C23" s="21">
        <f>1-C22</f>
        <v/>
      </c>
      <c r="D23" s="16" t="inlineStr">
        <is>
          <t>%</t>
        </is>
      </c>
      <c r="E23" s="17" t="inlineStr">
        <is>
          <t>Station : 0 investissement</t>
        </is>
      </c>
    </row>
    <row r="25" ht="18" customHeight="1">
      <c r="B25" s="14" t="inlineStr">
        <is>
          <t xml:space="preserve">  DÉPLOIEMENT DU PARC</t>
        </is>
      </c>
    </row>
    <row r="26">
      <c r="B26" s="10" t="inlineStr">
        <is>
          <t>Machines par vague</t>
        </is>
      </c>
      <c r="C26" s="15" t="n">
        <v>14</v>
      </c>
      <c r="D26" s="16" t="inlineStr">
        <is>
          <t>mach.</t>
        </is>
      </c>
      <c r="E26" s="17" t="inlineStr">
        <is>
          <t>Une vague tous les 6 mois</t>
        </is>
      </c>
    </row>
    <row r="27">
      <c r="B27" s="10" t="inlineStr">
        <is>
          <t>Intervalle entre vagues</t>
        </is>
      </c>
      <c r="C27" s="15" t="n">
        <v>6</v>
      </c>
      <c r="D27" s="16" t="inlineStr">
        <is>
          <t>mois</t>
        </is>
      </c>
      <c r="E27" s="17" t="inlineStr"/>
    </row>
    <row r="28">
      <c r="B28" s="10" t="inlineStr">
        <is>
          <t>Mois du 1er déploiement</t>
        </is>
      </c>
      <c r="C28" s="15" t="n">
        <v>3</v>
      </c>
      <c r="D28" s="16" t="inlineStr">
        <is>
          <t>mois</t>
        </is>
      </c>
      <c r="E28" s="17" t="inlineStr"/>
    </row>
    <row r="29">
      <c r="B29" s="10" t="inlineStr">
        <is>
          <t>Nombre de vagues</t>
        </is>
      </c>
      <c r="C29" s="15" t="n">
        <v>14</v>
      </c>
      <c r="D29" s="16" t="inlineStr">
        <is>
          <t>vagues</t>
        </is>
      </c>
      <c r="E29" s="17" t="inlineStr"/>
    </row>
    <row r="30">
      <c r="B30" s="10" t="inlineStr">
        <is>
          <t>Horizon du plan</t>
        </is>
      </c>
      <c r="C30" s="15" t="n">
        <v>84</v>
      </c>
      <c r="D30" s="16" t="inlineStr">
        <is>
          <t>mois</t>
        </is>
      </c>
      <c r="E30" s="17" t="inlineStr">
        <is>
          <t>7 ans</t>
        </is>
      </c>
    </row>
    <row r="31">
      <c r="B31" s="10" t="inlineStr">
        <is>
          <t>Parc final</t>
        </is>
      </c>
      <c r="C31" s="20">
        <f>C26*C29</f>
        <v/>
      </c>
      <c r="D31" s="16" t="inlineStr">
        <is>
          <t>mach.</t>
        </is>
      </c>
      <c r="E31" s="17" t="inlineStr">
        <is>
          <t>Cible à l'An 7</t>
        </is>
      </c>
    </row>
    <row r="33" ht="18" customHeight="1">
      <c r="B33" s="14" t="inlineStr">
        <is>
          <t xml:space="preserve">  CHARGES DE STRUCTURE</t>
        </is>
      </c>
    </row>
    <row r="34">
      <c r="B34" s="10" t="inlineStr">
        <is>
          <t>Nombre de gérants / fondateurs</t>
        </is>
      </c>
      <c r="C34" s="15" t="n">
        <v>2</v>
      </c>
      <c r="D34" s="16" t="inlineStr">
        <is>
          <t>pers.</t>
        </is>
      </c>
      <c r="E34" s="17" t="inlineStr">
        <is>
          <t>Ali + Lamine</t>
        </is>
      </c>
    </row>
    <row r="35">
      <c r="B35" s="10" t="inlineStr">
        <is>
          <t>Salaire fondateur (An 1)</t>
        </is>
      </c>
      <c r="C35" s="18" t="n">
        <v>2000</v>
      </c>
      <c r="D35" s="16" t="inlineStr">
        <is>
          <t>DT/mois</t>
        </is>
      </c>
      <c r="E35" s="17" t="inlineStr"/>
    </row>
    <row r="36">
      <c r="B36" s="10" t="inlineStr">
        <is>
          <t>Croissance salaire fondateur</t>
        </is>
      </c>
      <c r="C36" s="15" t="n">
        <v>0.5</v>
      </c>
      <c r="D36" s="16" t="inlineStr">
        <is>
          <t>%/an</t>
        </is>
      </c>
      <c r="E36" s="17" t="inlineStr">
        <is>
          <t>Plafonnée</t>
        </is>
      </c>
    </row>
    <row r="37">
      <c r="B37" s="10" t="inlineStr">
        <is>
          <t>Plafond salaire fondateur</t>
        </is>
      </c>
      <c r="C37" s="18" t="n">
        <v>6000</v>
      </c>
      <c r="D37" s="16" t="inlineStr">
        <is>
          <t>DT/mois</t>
        </is>
      </c>
      <c r="E37" s="17" t="inlineStr"/>
    </row>
    <row r="38">
      <c r="B38" s="10" t="inlineStr">
        <is>
          <t>Salaire technicien (An 1)</t>
        </is>
      </c>
      <c r="C38" s="18" t="n">
        <v>1200</v>
      </c>
      <c r="D38" s="16" t="inlineStr">
        <is>
          <t>DT/mois</t>
        </is>
      </c>
      <c r="E38" s="17" t="inlineStr"/>
    </row>
    <row r="39">
      <c r="B39" s="10" t="inlineStr">
        <is>
          <t>Croissance salaire technicien</t>
        </is>
      </c>
      <c r="C39" s="15" t="n">
        <v>0.07000000000000001</v>
      </c>
      <c r="D39" s="16" t="inlineStr">
        <is>
          <t>%/an</t>
        </is>
      </c>
      <c r="E39" s="17" t="inlineStr"/>
    </row>
    <row r="40">
      <c r="B40" s="10" t="inlineStr">
        <is>
          <t>Machines par technicien</t>
        </is>
      </c>
      <c r="C40" s="15" t="n">
        <v>48</v>
      </c>
      <c r="D40" s="16" t="inlineStr">
        <is>
          <t>mach.</t>
        </is>
      </c>
      <c r="E40" s="17" t="inlineStr">
        <is>
          <t>Capacité d'un technicien</t>
        </is>
      </c>
    </row>
    <row r="41">
      <c r="B41" s="10" t="inlineStr">
        <is>
          <t>Charges patronales</t>
        </is>
      </c>
      <c r="C41" s="19" t="n">
        <v>0.21</v>
      </c>
      <c r="D41" s="16" t="inlineStr">
        <is>
          <t>%</t>
        </is>
      </c>
      <c r="E41" s="17" t="inlineStr">
        <is>
          <t>CNSS + TFP + FOPROLOS</t>
        </is>
      </c>
    </row>
    <row r="42">
      <c r="B42" s="10" t="inlineStr">
        <is>
          <t>Loyer bureau (An 1)</t>
        </is>
      </c>
      <c r="C42" s="18" t="n">
        <v>1200</v>
      </c>
      <c r="D42" s="16" t="inlineStr">
        <is>
          <t>DT/mois</t>
        </is>
      </c>
      <c r="E42" s="17" t="inlineStr"/>
    </row>
    <row r="43">
      <c r="B43" s="10" t="inlineStr">
        <is>
          <t>Croissance loyer bureau</t>
        </is>
      </c>
      <c r="C43" s="15" t="n">
        <v>0.06</v>
      </c>
      <c r="D43" s="16" t="inlineStr">
        <is>
          <t>%/an</t>
        </is>
      </c>
      <c r="E43" s="17" t="inlineStr"/>
    </row>
    <row r="44">
      <c r="B44" s="10" t="inlineStr">
        <is>
          <t>Frais généraux (An 1)</t>
        </is>
      </c>
      <c r="C44" s="18" t="n">
        <v>2000</v>
      </c>
      <c r="D44" s="16" t="inlineStr">
        <is>
          <t>DT/mois</t>
        </is>
      </c>
      <c r="E44" s="17" t="inlineStr">
        <is>
          <t>Admin, déplacements, divers</t>
        </is>
      </c>
    </row>
    <row r="45">
      <c r="B45" s="10" t="inlineStr">
        <is>
          <t>Croissance frais généraux</t>
        </is>
      </c>
      <c r="C45" s="15" t="n">
        <v>0.06</v>
      </c>
      <c r="D45" s="16" t="inlineStr">
        <is>
          <t>%/an</t>
        </is>
      </c>
      <c r="E45" s="17" t="inlineStr"/>
    </row>
    <row r="47" ht="18" customHeight="1">
      <c r="B47" s="14" t="inlineStr">
        <is>
          <t xml:space="preserve">  VÉHICULE UTILITAIRE (leasing)</t>
        </is>
      </c>
    </row>
    <row r="48">
      <c r="B48" s="10" t="inlineStr">
        <is>
          <t>Prix du véhicule</t>
        </is>
      </c>
      <c r="C48" s="18" t="n">
        <v>70000</v>
      </c>
      <c r="D48" s="16" t="inlineStr">
        <is>
          <t>DT</t>
        </is>
      </c>
      <c r="E48" s="17" t="inlineStr">
        <is>
          <t>Intervention / maintenance</t>
        </is>
      </c>
    </row>
    <row r="49">
      <c r="B49" s="10" t="inlineStr">
        <is>
          <t>Taux de leasing véhicule</t>
        </is>
      </c>
      <c r="C49" s="15" t="n">
        <v>0.12</v>
      </c>
      <c r="D49" s="16" t="inlineStr">
        <is>
          <t>%/an</t>
        </is>
      </c>
      <c r="E49" s="17" t="inlineStr"/>
    </row>
    <row r="50">
      <c r="B50" s="10" t="inlineStr">
        <is>
          <t>Durée du leasing véhicule</t>
        </is>
      </c>
      <c r="C50" s="15" t="n">
        <v>60</v>
      </c>
      <c r="D50" s="16" t="inlineStr">
        <is>
          <t>mois</t>
        </is>
      </c>
      <c r="E50" s="17" t="inlineStr">
        <is>
          <t>5 ans</t>
        </is>
      </c>
    </row>
    <row r="51">
      <c r="B51" s="10" t="inlineStr">
        <is>
          <t>Mensualité véhicule</t>
        </is>
      </c>
      <c r="C51" s="20">
        <f>C48*(C49/12)/(1-(1+C49/12)^(-C50))</f>
        <v/>
      </c>
      <c r="D51" s="16" t="inlineStr">
        <is>
          <t>DT</t>
        </is>
      </c>
      <c r="E51" s="17" t="inlineStr"/>
    </row>
    <row r="53" ht="18" customHeight="1">
      <c r="B53" s="14" t="inlineStr">
        <is>
          <t xml:space="preserve">  FISCALITÉ &amp; CAPITAL</t>
        </is>
      </c>
    </row>
    <row r="54">
      <c r="B54" s="10" t="inlineStr">
        <is>
          <t>Impôt sur les sociétés (IS + CSS)</t>
        </is>
      </c>
      <c r="C54" s="19" t="n">
        <v>0.28</v>
      </c>
      <c r="D54" s="16" t="inlineStr">
        <is>
          <t>%</t>
        </is>
      </c>
      <c r="E54" s="17" t="inlineStr">
        <is>
          <t>IS 25 % + CSS 3 %</t>
        </is>
      </c>
    </row>
    <row r="55">
      <c r="B55" s="10" t="inlineStr">
        <is>
          <t>Capital social</t>
        </is>
      </c>
      <c r="C55" s="18" t="n">
        <v>300000</v>
      </c>
      <c r="D55" s="16" t="inlineStr">
        <is>
          <t>DT</t>
        </is>
      </c>
      <c r="E55" s="17" t="inlineStr">
        <is>
          <t>Apporté à 100 % par Nessim Mami</t>
        </is>
      </c>
    </row>
    <row r="56">
      <c r="B56" s="10" t="inlineStr">
        <is>
          <t>Payout dividendes</t>
        </is>
      </c>
      <c r="C56" s="19" t="n">
        <v>0.7</v>
      </c>
      <c r="D56" s="16" t="inlineStr">
        <is>
          <t>%</t>
        </is>
      </c>
      <c r="E56" s="17" t="inlineStr">
        <is>
          <t>70 % distribué, 30 % en réserve</t>
        </is>
      </c>
    </row>
    <row r="57">
      <c r="B57" s="10" t="inlineStr">
        <is>
          <t>Prime de risque investisseur</t>
        </is>
      </c>
      <c r="C57" s="19" t="n">
        <v>0.2</v>
      </c>
      <c r="D57" s="16" t="inlineStr">
        <is>
          <t>%</t>
        </is>
      </c>
      <c r="E57" s="17" t="inlineStr">
        <is>
          <t>Sur récupération prioritaire</t>
        </is>
      </c>
    </row>
    <row r="58">
      <c r="B58" s="10" t="inlineStr">
        <is>
          <t>Récupération prioritaire Nessim</t>
        </is>
      </c>
      <c r="C58" s="20">
        <f>C55*(1+C57)</f>
        <v/>
      </c>
      <c r="D58" s="16" t="inlineStr">
        <is>
          <t>DT</t>
        </is>
      </c>
      <c r="E58" s="17" t="inlineStr">
        <is>
          <t>Capital + prime (= 360 000)</t>
        </is>
      </c>
    </row>
    <row r="60" ht="18" customHeight="1">
      <c r="B60" s="14" t="inlineStr">
        <is>
          <t xml:space="preserve">  RÉPARTITION DU CAPITAL</t>
        </is>
      </c>
    </row>
    <row r="61">
      <c r="B61" s="10" t="inlineStr">
        <is>
          <t>Nessim Mami (investisseur)</t>
        </is>
      </c>
      <c r="C61" s="19" t="n">
        <v>0.45</v>
      </c>
      <c r="D61" s="16" t="inlineStr">
        <is>
          <t>%</t>
        </is>
      </c>
      <c r="E61" s="17" t="inlineStr">
        <is>
          <t>Apporte 100 % du capital</t>
        </is>
      </c>
    </row>
    <row r="62">
      <c r="B62" s="10" t="inlineStr">
        <is>
          <t>Ali Ben Hamoud (Directeur Technique)</t>
        </is>
      </c>
      <c r="C62" s="19" t="n">
        <v>0.25</v>
      </c>
      <c r="D62" s="16" t="inlineStr">
        <is>
          <t>%</t>
        </is>
      </c>
      <c r="E62" s="17" t="inlineStr">
        <is>
          <t>Apport industrie</t>
        </is>
      </c>
    </row>
    <row r="63">
      <c r="B63" s="10" t="inlineStr">
        <is>
          <t>Mohamed Lamine Belajouza (CEO)</t>
        </is>
      </c>
      <c r="C63" s="19" t="n">
        <v>0.25</v>
      </c>
      <c r="D63" s="16" t="inlineStr">
        <is>
          <t>%</t>
        </is>
      </c>
      <c r="E63" s="17" t="inlineStr">
        <is>
          <t>Apport industrie</t>
        </is>
      </c>
    </row>
    <row r="64">
      <c r="B64" s="10" t="inlineStr">
        <is>
          <t>Nazeh Ben Ammar (conseiller de Nessim)</t>
        </is>
      </c>
      <c r="C64" s="19" t="n">
        <v>0.05</v>
      </c>
      <c r="D64" s="16" t="inlineStr">
        <is>
          <t>%</t>
        </is>
      </c>
      <c r="E64" s="17" t="inlineStr">
        <is>
          <t>Apport réseau institutionnel</t>
        </is>
      </c>
    </row>
    <row r="66">
      <c r="B66" s="17" t="inlineStr">
        <is>
          <t>Cellules bleues = saisie libre.  Cellules grisées = calculées (ne pas modifier).</t>
        </is>
      </c>
    </row>
  </sheetData>
  <mergeCells count="10">
    <mergeCell ref="B1:E1"/>
    <mergeCell ref="B4:E4"/>
    <mergeCell ref="B53:E53"/>
    <mergeCell ref="B66:E66"/>
    <mergeCell ref="B16:E16"/>
    <mergeCell ref="B33:E33"/>
    <mergeCell ref="B25:E25"/>
    <mergeCell ref="B47:E47"/>
    <mergeCell ref="B2:E2"/>
    <mergeCell ref="B60:E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4" customWidth="1" min="4" max="4"/>
    <col width="46" customWidth="1" min="5" max="5"/>
  </cols>
  <sheetData>
    <row r="1" ht="22" customHeight="1">
      <c r="B1" s="12" t="inlineStr">
        <is>
          <t>Économie d'une machine</t>
        </is>
      </c>
    </row>
    <row r="2">
      <c r="B2" s="13" t="inlineStr">
        <is>
          <t>Le cœur du modèle : chaque machine s'autofinance et dégage une marge nette.</t>
        </is>
      </c>
    </row>
    <row r="4" ht="18" customHeight="1">
      <c r="B4" s="14" t="inlineStr">
        <is>
          <t xml:space="preserve">  INVESTISSEMENT &amp; FINANCEMENT</t>
        </is>
      </c>
    </row>
    <row r="5">
      <c r="B5" s="10" t="inlineStr">
        <is>
          <t>Coût machine tout compris (HT)</t>
        </is>
      </c>
      <c r="C5" s="22">
        <f>'Hypothèses'!$C$9</f>
        <v/>
      </c>
    </row>
    <row r="6">
      <c r="B6" s="10" t="inlineStr">
        <is>
          <t>Financement</t>
        </is>
      </c>
      <c r="E6" s="17" t="inlineStr">
        <is>
          <t>Leasing 100 % (0 cash mobilisé par HCTECH)</t>
        </is>
      </c>
    </row>
    <row r="7">
      <c r="B7" s="10" t="inlineStr">
        <is>
          <t>Loyer de leasing / mois</t>
        </is>
      </c>
      <c r="C7" s="22">
        <f>'Hypothèses'!$C$12</f>
        <v/>
      </c>
    </row>
    <row r="8">
      <c r="B8" s="10" t="inlineStr">
        <is>
          <t>Loyer de leasing / an (pendant 5 ans)</t>
        </is>
      </c>
      <c r="C8" s="22">
        <f>'Hypothèses'!$C$13</f>
        <v/>
      </c>
    </row>
    <row r="10" ht="18" customHeight="1">
      <c r="B10" s="14" t="inlineStr">
        <is>
          <t xml:space="preserve">  REVENUS (scénario réaliste 5/1000)</t>
        </is>
      </c>
    </row>
    <row r="11">
      <c r="B11" s="10" t="inlineStr">
        <is>
          <t>Essence récupérée / an</t>
        </is>
      </c>
      <c r="C11" s="23">
        <f>'Hypothèses'!$C$19*365</f>
        <v/>
      </c>
    </row>
    <row r="12">
      <c r="B12" s="10" t="inlineStr">
        <is>
          <t>Valeur brute récupérée / an</t>
        </is>
      </c>
      <c r="C12" s="22">
        <f>'Hypothèses'!$C$19*365*'Hypothèses'!$C$20</f>
        <v/>
      </c>
    </row>
    <row r="13">
      <c r="B13" s="10" t="inlineStr">
        <is>
          <t>Part HCTECH (60 %)</t>
        </is>
      </c>
      <c r="C13" s="22">
        <f>'Hypothèses'!$C$19*365*'Hypothèses'!$C$20*'Hypothèses'!$C$22</f>
        <v/>
      </c>
    </row>
    <row r="14">
      <c r="B14" s="10" t="inlineStr">
        <is>
          <t>Part station (40 %)</t>
        </is>
      </c>
      <c r="C14" s="22">
        <f>'Hypothèses'!$C$19*365*'Hypothèses'!$C$20*'Hypothèses'!$C$23</f>
        <v/>
      </c>
    </row>
    <row r="16" ht="18" customHeight="1">
      <c r="B16" s="14" t="inlineStr">
        <is>
          <t xml:space="preserve">  MARGE PAR MACHINE</t>
        </is>
      </c>
    </row>
    <row r="17">
      <c r="B17" s="10" t="inlineStr">
        <is>
          <t>(−) Loyer leasing / an</t>
        </is>
      </c>
      <c r="C17" s="22">
        <f>-'Hypothèses'!$C$13</f>
        <v/>
      </c>
    </row>
    <row r="18">
      <c r="B18" s="10" t="inlineStr">
        <is>
          <t>(−) Maintenance + internet / an</t>
        </is>
      </c>
      <c r="C18" s="22">
        <f>-'Hypothèses'!$C$14*12</f>
        <v/>
      </c>
    </row>
    <row r="19">
      <c r="B19" s="24" t="inlineStr">
        <is>
          <t>Marge nette PENDANT le leasing (5 ans)</t>
        </is>
      </c>
      <c r="C19" s="25">
        <f>'Hypothèses'!$C$19*365*'Hypothèses'!$C$20*'Hypothèses'!$C$22-'Hypothèses'!$C$13-'Hypothèses'!$C$14*12</f>
        <v/>
      </c>
    </row>
    <row r="20">
      <c r="B20" s="24" t="inlineStr">
        <is>
          <t>Marge nette APRÈS payoff (An 6-7, loyer = 0)</t>
        </is>
      </c>
      <c r="C20" s="25">
        <f>'Hypothèses'!$C$19*365*'Hypothèses'!$C$20*'Hypothèses'!$C$22-'Hypothèses'!$C$14*12</f>
        <v/>
      </c>
    </row>
    <row r="21">
      <c r="B21" s="24" t="inlineStr">
        <is>
          <t>Couverture du loyer par la part HCTECH</t>
        </is>
      </c>
      <c r="C21" s="26">
        <f>'Hypothèses'!$C$19*365*'Hypothèses'!$C$20*'Hypothèses'!$C$22/'Hypothèses'!$C$13</f>
        <v/>
      </c>
    </row>
  </sheetData>
  <mergeCells count="5">
    <mergeCell ref="B1:E1"/>
    <mergeCell ref="B4:E4"/>
    <mergeCell ref="B16:E16"/>
    <mergeCell ref="B2:E2"/>
    <mergeCell ref="B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2" customHeight="1">
      <c r="B1" s="12" t="inlineStr">
        <is>
          <t>État de résultat prévisionnel</t>
        </is>
      </c>
    </row>
    <row r="2">
      <c r="B2" s="13" t="inlineStr">
        <is>
          <t>Présentation normée (Système Comptable des Entreprises — Tunisie). En DT — recalcul automatique.</t>
        </is>
      </c>
    </row>
    <row r="4">
      <c r="C4" s="27" t="inlineStr">
        <is>
          <t>An 1</t>
        </is>
      </c>
      <c r="D4" s="27" t="inlineStr">
        <is>
          <t>An 2</t>
        </is>
      </c>
      <c r="E4" s="27" t="inlineStr">
        <is>
          <t>An 3</t>
        </is>
      </c>
      <c r="F4" s="27" t="inlineStr">
        <is>
          <t>An 4</t>
        </is>
      </c>
      <c r="G4" s="27" t="inlineStr">
        <is>
          <t>An 5</t>
        </is>
      </c>
      <c r="H4" s="27" t="inlineStr">
        <is>
          <t>An 6</t>
        </is>
      </c>
      <c r="I4" s="27" t="inlineStr">
        <is>
          <t>An 7</t>
        </is>
      </c>
      <c r="J4" s="28" t="inlineStr">
        <is>
          <t>Total 7 ans</t>
        </is>
      </c>
    </row>
    <row r="5">
      <c r="B5" s="17" t="inlineStr">
        <is>
          <t>Parc de machines en exploitation (fin d'année) — pour mémoire</t>
        </is>
      </c>
      <c r="C5" s="29">
        <f>'Calcul'!$D$13</f>
        <v/>
      </c>
      <c r="D5" s="29">
        <f>'Calcul'!$D$25</f>
        <v/>
      </c>
      <c r="E5" s="29">
        <f>'Calcul'!$D$37</f>
        <v/>
      </c>
      <c r="F5" s="29">
        <f>'Calcul'!$D$49</f>
        <v/>
      </c>
      <c r="G5" s="29">
        <f>'Calcul'!$D$61</f>
        <v/>
      </c>
      <c r="H5" s="29">
        <f>'Calcul'!$D$73</f>
        <v/>
      </c>
      <c r="I5" s="29">
        <f>'Calcul'!$D$85</f>
        <v/>
      </c>
    </row>
    <row r="6">
      <c r="B6" s="14" t="inlineStr">
        <is>
          <t xml:space="preserve">  PRODUITS D'EXPLOITATION</t>
        </is>
      </c>
    </row>
    <row r="7">
      <c r="B7" s="24" t="inlineStr">
        <is>
          <t>Revenus (revenue share — part HCTECH 60 %)</t>
        </is>
      </c>
      <c r="C7" s="30">
        <f>SUMIF('Calcul'!$B$2:$B$85,1,'Calcul'!$H$2:$H$85)</f>
        <v/>
      </c>
      <c r="D7" s="30">
        <f>SUMIF('Calcul'!$B$2:$B$85,2,'Calcul'!$H$2:$H$85)</f>
        <v/>
      </c>
      <c r="E7" s="30">
        <f>SUMIF('Calcul'!$B$2:$B$85,3,'Calcul'!$H$2:$H$85)</f>
        <v/>
      </c>
      <c r="F7" s="30">
        <f>SUMIF('Calcul'!$B$2:$B$85,4,'Calcul'!$H$2:$H$85)</f>
        <v/>
      </c>
      <c r="G7" s="30">
        <f>SUMIF('Calcul'!$B$2:$B$85,5,'Calcul'!$H$2:$H$85)</f>
        <v/>
      </c>
      <c r="H7" s="30">
        <f>SUMIF('Calcul'!$B$2:$B$85,6,'Calcul'!$H$2:$H$85)</f>
        <v/>
      </c>
      <c r="I7" s="30">
        <f>SUMIF('Calcul'!$B$2:$B$85,7,'Calcul'!$H$2:$H$85)</f>
        <v/>
      </c>
      <c r="J7" s="20">
        <f>SUM(C7:I7)</f>
        <v/>
      </c>
    </row>
    <row r="8">
      <c r="B8" s="14" t="inlineStr">
        <is>
          <t xml:space="preserve">  CHARGES D'EXPLOITATION</t>
        </is>
      </c>
    </row>
    <row r="9">
      <c r="B9" s="31" t="inlineStr">
        <is>
          <t xml:space="preserve">   Achats &amp; charges externes — maintenance machines</t>
        </is>
      </c>
      <c r="C9" s="32">
        <f>-SUMIF('Calcul'!$B$2:$B$85,1,'Calcul'!$I$2:$I$85)</f>
        <v/>
      </c>
      <c r="D9" s="32">
        <f>-SUMIF('Calcul'!$B$2:$B$85,2,'Calcul'!$I$2:$I$85)</f>
        <v/>
      </c>
      <c r="E9" s="32">
        <f>-SUMIF('Calcul'!$B$2:$B$85,3,'Calcul'!$I$2:$I$85)</f>
        <v/>
      </c>
      <c r="F9" s="32">
        <f>-SUMIF('Calcul'!$B$2:$B$85,4,'Calcul'!$I$2:$I$85)</f>
        <v/>
      </c>
      <c r="G9" s="32">
        <f>-SUMIF('Calcul'!$B$2:$B$85,5,'Calcul'!$I$2:$I$85)</f>
        <v/>
      </c>
      <c r="H9" s="32">
        <f>-SUMIF('Calcul'!$B$2:$B$85,6,'Calcul'!$I$2:$I$85)</f>
        <v/>
      </c>
      <c r="I9" s="32">
        <f>-SUMIF('Calcul'!$B$2:$B$85,7,'Calcul'!$I$2:$I$85)</f>
        <v/>
      </c>
      <c r="J9" s="20">
        <f>SUM(C9:I9)</f>
        <v/>
      </c>
    </row>
    <row r="10">
      <c r="B10" s="31" t="inlineStr">
        <is>
          <t xml:space="preserve">   Charges de leasing — machines</t>
        </is>
      </c>
      <c r="C10" s="32">
        <f>-SUMIF('Calcul'!$B$2:$B$85,1,'Calcul'!$J$2:$J$85)</f>
        <v/>
      </c>
      <c r="D10" s="32">
        <f>-SUMIF('Calcul'!$B$2:$B$85,2,'Calcul'!$J$2:$J$85)</f>
        <v/>
      </c>
      <c r="E10" s="32">
        <f>-SUMIF('Calcul'!$B$2:$B$85,3,'Calcul'!$J$2:$J$85)</f>
        <v/>
      </c>
      <c r="F10" s="32">
        <f>-SUMIF('Calcul'!$B$2:$B$85,4,'Calcul'!$J$2:$J$85)</f>
        <v/>
      </c>
      <c r="G10" s="32">
        <f>-SUMIF('Calcul'!$B$2:$B$85,5,'Calcul'!$J$2:$J$85)</f>
        <v/>
      </c>
      <c r="H10" s="32">
        <f>-SUMIF('Calcul'!$B$2:$B$85,6,'Calcul'!$J$2:$J$85)</f>
        <v/>
      </c>
      <c r="I10" s="32">
        <f>-SUMIF('Calcul'!$B$2:$B$85,7,'Calcul'!$J$2:$J$85)</f>
        <v/>
      </c>
      <c r="J10" s="20">
        <f>SUM(C10:I10)</f>
        <v/>
      </c>
    </row>
    <row r="11">
      <c r="B11" s="31" t="inlineStr">
        <is>
          <t xml:space="preserve">   Charges de leasing — véhicule</t>
        </is>
      </c>
      <c r="C11" s="32">
        <f>-SUMIF('Calcul'!$B$2:$B$85,1,'Calcul'!$Q$2:$Q$85)</f>
        <v/>
      </c>
      <c r="D11" s="32">
        <f>-SUMIF('Calcul'!$B$2:$B$85,2,'Calcul'!$Q$2:$Q$85)</f>
        <v/>
      </c>
      <c r="E11" s="32">
        <f>-SUMIF('Calcul'!$B$2:$B$85,3,'Calcul'!$Q$2:$Q$85)</f>
        <v/>
      </c>
      <c r="F11" s="32">
        <f>-SUMIF('Calcul'!$B$2:$B$85,4,'Calcul'!$Q$2:$Q$85)</f>
        <v/>
      </c>
      <c r="G11" s="32">
        <f>-SUMIF('Calcul'!$B$2:$B$85,5,'Calcul'!$Q$2:$Q$85)</f>
        <v/>
      </c>
      <c r="H11" s="32">
        <f>-SUMIF('Calcul'!$B$2:$B$85,6,'Calcul'!$Q$2:$Q$85)</f>
        <v/>
      </c>
      <c r="I11" s="32">
        <f>-SUMIF('Calcul'!$B$2:$B$85,7,'Calcul'!$Q$2:$Q$85)</f>
        <v/>
      </c>
      <c r="J11" s="20">
        <f>SUM(C11:I11)</f>
        <v/>
      </c>
    </row>
    <row r="12">
      <c r="B12" s="31" t="inlineStr">
        <is>
          <t xml:space="preserve">   Charges de personnel</t>
        </is>
      </c>
      <c r="C12" s="32">
        <f>-SUMIF('Calcul'!$B$2:$B$85,1,'Calcul'!$N$2:$N$85)</f>
        <v/>
      </c>
      <c r="D12" s="32">
        <f>-SUMIF('Calcul'!$B$2:$B$85,2,'Calcul'!$N$2:$N$85)</f>
        <v/>
      </c>
      <c r="E12" s="32">
        <f>-SUMIF('Calcul'!$B$2:$B$85,3,'Calcul'!$N$2:$N$85)</f>
        <v/>
      </c>
      <c r="F12" s="32">
        <f>-SUMIF('Calcul'!$B$2:$B$85,4,'Calcul'!$N$2:$N$85)</f>
        <v/>
      </c>
      <c r="G12" s="32">
        <f>-SUMIF('Calcul'!$B$2:$B$85,5,'Calcul'!$N$2:$N$85)</f>
        <v/>
      </c>
      <c r="H12" s="32">
        <f>-SUMIF('Calcul'!$B$2:$B$85,6,'Calcul'!$N$2:$N$85)</f>
        <v/>
      </c>
      <c r="I12" s="32">
        <f>-SUMIF('Calcul'!$B$2:$B$85,7,'Calcul'!$N$2:$N$85)</f>
        <v/>
      </c>
      <c r="J12" s="20">
        <f>SUM(C12:I12)</f>
        <v/>
      </c>
    </row>
    <row r="13">
      <c r="B13" s="31" t="inlineStr">
        <is>
          <t xml:space="preserve">   Loyer &amp; charges locatives (bureau)</t>
        </is>
      </c>
      <c r="C13" s="32">
        <f>-SUMIF('Calcul'!$B$2:$B$85,1,'Calcul'!$O$2:$O$85)</f>
        <v/>
      </c>
      <c r="D13" s="32">
        <f>-SUMIF('Calcul'!$B$2:$B$85,2,'Calcul'!$O$2:$O$85)</f>
        <v/>
      </c>
      <c r="E13" s="32">
        <f>-SUMIF('Calcul'!$B$2:$B$85,3,'Calcul'!$O$2:$O$85)</f>
        <v/>
      </c>
      <c r="F13" s="32">
        <f>-SUMIF('Calcul'!$B$2:$B$85,4,'Calcul'!$O$2:$O$85)</f>
        <v/>
      </c>
      <c r="G13" s="32">
        <f>-SUMIF('Calcul'!$B$2:$B$85,5,'Calcul'!$O$2:$O$85)</f>
        <v/>
      </c>
      <c r="H13" s="32">
        <f>-SUMIF('Calcul'!$B$2:$B$85,6,'Calcul'!$O$2:$O$85)</f>
        <v/>
      </c>
      <c r="I13" s="32">
        <f>-SUMIF('Calcul'!$B$2:$B$85,7,'Calcul'!$O$2:$O$85)</f>
        <v/>
      </c>
      <c r="J13" s="20">
        <f>SUM(C13:I13)</f>
        <v/>
      </c>
    </row>
    <row r="14">
      <c r="B14" s="31" t="inlineStr">
        <is>
          <t xml:space="preserve">   Autres charges d'exploitation</t>
        </is>
      </c>
      <c r="C14" s="32">
        <f>-SUMIF('Calcul'!$B$2:$B$85,1,'Calcul'!$P$2:$P$85)</f>
        <v/>
      </c>
      <c r="D14" s="32">
        <f>-SUMIF('Calcul'!$B$2:$B$85,2,'Calcul'!$P$2:$P$85)</f>
        <v/>
      </c>
      <c r="E14" s="32">
        <f>-SUMIF('Calcul'!$B$2:$B$85,3,'Calcul'!$P$2:$P$85)</f>
        <v/>
      </c>
      <c r="F14" s="32">
        <f>-SUMIF('Calcul'!$B$2:$B$85,4,'Calcul'!$P$2:$P$85)</f>
        <v/>
      </c>
      <c r="G14" s="32">
        <f>-SUMIF('Calcul'!$B$2:$B$85,5,'Calcul'!$P$2:$P$85)</f>
        <v/>
      </c>
      <c r="H14" s="32">
        <f>-SUMIF('Calcul'!$B$2:$B$85,6,'Calcul'!$P$2:$P$85)</f>
        <v/>
      </c>
      <c r="I14" s="32">
        <f>-SUMIF('Calcul'!$B$2:$B$85,7,'Calcul'!$P$2:$P$85)</f>
        <v/>
      </c>
      <c r="J14" s="20">
        <f>SUM(C14:I14)</f>
        <v/>
      </c>
    </row>
    <row r="15">
      <c r="B15" s="10" t="inlineStr">
        <is>
          <t>Total des charges d'exploitation</t>
        </is>
      </c>
      <c r="C15" s="33">
        <f>-(SUMIF('Calcul'!$B$2:$B$85,1,'Calcul'!$I$2:$I$85)+SUMIF('Calcul'!$B$2:$B$85,1,'Calcul'!$J$2:$J$85)+SUMIF('Calcul'!$B$2:$B$85,1,'Calcul'!$Q$2:$Q$85)+SUMIF('Calcul'!$B$2:$B$85,1,'Calcul'!$N$2:$N$85)+SUMIF('Calcul'!$B$2:$B$85,1,'Calcul'!$O$2:$O$85)+SUMIF('Calcul'!$B$2:$B$85,1,'Calcul'!$P$2:$P$85))</f>
        <v/>
      </c>
      <c r="D15" s="33">
        <f>-(SUMIF('Calcul'!$B$2:$B$85,2,'Calcul'!$I$2:$I$85)+SUMIF('Calcul'!$B$2:$B$85,2,'Calcul'!$J$2:$J$85)+SUMIF('Calcul'!$B$2:$B$85,2,'Calcul'!$Q$2:$Q$85)+SUMIF('Calcul'!$B$2:$B$85,2,'Calcul'!$N$2:$N$85)+SUMIF('Calcul'!$B$2:$B$85,2,'Calcul'!$O$2:$O$85)+SUMIF('Calcul'!$B$2:$B$85,2,'Calcul'!$P$2:$P$85))</f>
        <v/>
      </c>
      <c r="E15" s="33">
        <f>-(SUMIF('Calcul'!$B$2:$B$85,3,'Calcul'!$I$2:$I$85)+SUMIF('Calcul'!$B$2:$B$85,3,'Calcul'!$J$2:$J$85)+SUMIF('Calcul'!$B$2:$B$85,3,'Calcul'!$Q$2:$Q$85)+SUMIF('Calcul'!$B$2:$B$85,3,'Calcul'!$N$2:$N$85)+SUMIF('Calcul'!$B$2:$B$85,3,'Calcul'!$O$2:$O$85)+SUMIF('Calcul'!$B$2:$B$85,3,'Calcul'!$P$2:$P$85))</f>
        <v/>
      </c>
      <c r="F15" s="33">
        <f>-(SUMIF('Calcul'!$B$2:$B$85,4,'Calcul'!$I$2:$I$85)+SUMIF('Calcul'!$B$2:$B$85,4,'Calcul'!$J$2:$J$85)+SUMIF('Calcul'!$B$2:$B$85,4,'Calcul'!$Q$2:$Q$85)+SUMIF('Calcul'!$B$2:$B$85,4,'Calcul'!$N$2:$N$85)+SUMIF('Calcul'!$B$2:$B$85,4,'Calcul'!$O$2:$O$85)+SUMIF('Calcul'!$B$2:$B$85,4,'Calcul'!$P$2:$P$85))</f>
        <v/>
      </c>
      <c r="G15" s="33">
        <f>-(SUMIF('Calcul'!$B$2:$B$85,5,'Calcul'!$I$2:$I$85)+SUMIF('Calcul'!$B$2:$B$85,5,'Calcul'!$J$2:$J$85)+SUMIF('Calcul'!$B$2:$B$85,5,'Calcul'!$Q$2:$Q$85)+SUMIF('Calcul'!$B$2:$B$85,5,'Calcul'!$N$2:$N$85)+SUMIF('Calcul'!$B$2:$B$85,5,'Calcul'!$O$2:$O$85)+SUMIF('Calcul'!$B$2:$B$85,5,'Calcul'!$P$2:$P$85))</f>
        <v/>
      </c>
      <c r="H15" s="33">
        <f>-(SUMIF('Calcul'!$B$2:$B$85,6,'Calcul'!$I$2:$I$85)+SUMIF('Calcul'!$B$2:$B$85,6,'Calcul'!$J$2:$J$85)+SUMIF('Calcul'!$B$2:$B$85,6,'Calcul'!$Q$2:$Q$85)+SUMIF('Calcul'!$B$2:$B$85,6,'Calcul'!$N$2:$N$85)+SUMIF('Calcul'!$B$2:$B$85,6,'Calcul'!$O$2:$O$85)+SUMIF('Calcul'!$B$2:$B$85,6,'Calcul'!$P$2:$P$85))</f>
        <v/>
      </c>
      <c r="I15" s="33">
        <f>-(SUMIF('Calcul'!$B$2:$B$85,7,'Calcul'!$I$2:$I$85)+SUMIF('Calcul'!$B$2:$B$85,7,'Calcul'!$J$2:$J$85)+SUMIF('Calcul'!$B$2:$B$85,7,'Calcul'!$Q$2:$Q$85)+SUMIF('Calcul'!$B$2:$B$85,7,'Calcul'!$N$2:$N$85)+SUMIF('Calcul'!$B$2:$B$85,7,'Calcul'!$O$2:$O$85)+SUMIF('Calcul'!$B$2:$B$85,7,'Calcul'!$P$2:$P$85))</f>
        <v/>
      </c>
      <c r="J15" s="20">
        <f>SUM(C15:I15)</f>
        <v/>
      </c>
    </row>
    <row r="16">
      <c r="B16" s="34" t="inlineStr">
        <is>
          <t>RÉSULTAT D'EXPLOITATION (= EBITDA, sans amortissement)</t>
        </is>
      </c>
      <c r="C16" s="35">
        <f>SUMIF('Calcul'!$B$2:$B$85,1,'Calcul'!$R$2:$R$85)</f>
        <v/>
      </c>
      <c r="D16" s="35">
        <f>SUMIF('Calcul'!$B$2:$B$85,2,'Calcul'!$R$2:$R$85)</f>
        <v/>
      </c>
      <c r="E16" s="35">
        <f>SUMIF('Calcul'!$B$2:$B$85,3,'Calcul'!$R$2:$R$85)</f>
        <v/>
      </c>
      <c r="F16" s="35">
        <f>SUMIF('Calcul'!$B$2:$B$85,4,'Calcul'!$R$2:$R$85)</f>
        <v/>
      </c>
      <c r="G16" s="35">
        <f>SUMIF('Calcul'!$B$2:$B$85,5,'Calcul'!$R$2:$R$85)</f>
        <v/>
      </c>
      <c r="H16" s="35">
        <f>SUMIF('Calcul'!$B$2:$B$85,6,'Calcul'!$R$2:$R$85)</f>
        <v/>
      </c>
      <c r="I16" s="35">
        <f>SUMIF('Calcul'!$B$2:$B$85,7,'Calcul'!$R$2:$R$85)</f>
        <v/>
      </c>
      <c r="J16" s="36">
        <f>SUM(C16:I16)</f>
        <v/>
      </c>
    </row>
    <row r="17">
      <c r="B17" s="31" t="inlineStr">
        <is>
          <t xml:space="preserve">   Charges financières nettes</t>
        </is>
      </c>
      <c r="C17" s="32">
        <f>0</f>
        <v/>
      </c>
      <c r="D17" s="32">
        <f>0</f>
        <v/>
      </c>
      <c r="E17" s="32">
        <f>0</f>
        <v/>
      </c>
      <c r="F17" s="32">
        <f>0</f>
        <v/>
      </c>
      <c r="G17" s="32">
        <f>0</f>
        <v/>
      </c>
      <c r="H17" s="32">
        <f>0</f>
        <v/>
      </c>
      <c r="I17" s="32">
        <f>0</f>
        <v/>
      </c>
      <c r="J17" s="20">
        <f>SUM(C17:I17)</f>
        <v/>
      </c>
    </row>
    <row r="18">
      <c r="B18" s="24" t="inlineStr">
        <is>
          <t>Résultat des activités ordinaires avant impôt</t>
        </is>
      </c>
      <c r="C18" s="30">
        <f>SUMIF('Calcul'!$B$2:$B$85,1,'Calcul'!$R$2:$R$85)</f>
        <v/>
      </c>
      <c r="D18" s="30">
        <f>SUMIF('Calcul'!$B$2:$B$85,2,'Calcul'!$R$2:$R$85)</f>
        <v/>
      </c>
      <c r="E18" s="30">
        <f>SUMIF('Calcul'!$B$2:$B$85,3,'Calcul'!$R$2:$R$85)</f>
        <v/>
      </c>
      <c r="F18" s="30">
        <f>SUMIF('Calcul'!$B$2:$B$85,4,'Calcul'!$R$2:$R$85)</f>
        <v/>
      </c>
      <c r="G18" s="30">
        <f>SUMIF('Calcul'!$B$2:$B$85,5,'Calcul'!$R$2:$R$85)</f>
        <v/>
      </c>
      <c r="H18" s="30">
        <f>SUMIF('Calcul'!$B$2:$B$85,6,'Calcul'!$R$2:$R$85)</f>
        <v/>
      </c>
      <c r="I18" s="30">
        <f>SUMIF('Calcul'!$B$2:$B$85,7,'Calcul'!$R$2:$R$85)</f>
        <v/>
      </c>
      <c r="J18" s="20">
        <f>SUM(C18:I18)</f>
        <v/>
      </c>
    </row>
    <row r="19">
      <c r="B19" s="31" t="inlineStr">
        <is>
          <t xml:space="preserve">   Impôt sur les bénéfices (IS 25 % + CSS 3 %)</t>
        </is>
      </c>
      <c r="C19" s="32">
        <f>-MAX(0,SUMIF('Calcul'!$B$2:$B$85,1,'Calcul'!$R$2:$R$85))*'Hypothèses'!$C$54</f>
        <v/>
      </c>
      <c r="D19" s="32">
        <f>-MAX(0,SUMIF('Calcul'!$B$2:$B$85,2,'Calcul'!$R$2:$R$85))*'Hypothèses'!$C$54</f>
        <v/>
      </c>
      <c r="E19" s="32">
        <f>-MAX(0,SUMIF('Calcul'!$B$2:$B$85,3,'Calcul'!$R$2:$R$85))*'Hypothèses'!$C$54</f>
        <v/>
      </c>
      <c r="F19" s="32">
        <f>-MAX(0,SUMIF('Calcul'!$B$2:$B$85,4,'Calcul'!$R$2:$R$85))*'Hypothèses'!$C$54</f>
        <v/>
      </c>
      <c r="G19" s="32">
        <f>-MAX(0,SUMIF('Calcul'!$B$2:$B$85,5,'Calcul'!$R$2:$R$85))*'Hypothèses'!$C$54</f>
        <v/>
      </c>
      <c r="H19" s="32">
        <f>-MAX(0,SUMIF('Calcul'!$B$2:$B$85,6,'Calcul'!$R$2:$R$85))*'Hypothèses'!$C$54</f>
        <v/>
      </c>
      <c r="I19" s="32">
        <f>-MAX(0,SUMIF('Calcul'!$B$2:$B$85,7,'Calcul'!$R$2:$R$85))*'Hypothèses'!$C$54</f>
        <v/>
      </c>
      <c r="J19" s="20">
        <f>SUM(C19:I19)</f>
        <v/>
      </c>
    </row>
    <row r="20">
      <c r="B20" s="37" t="inlineStr">
        <is>
          <t>RÉSULTAT NET DE L'EXERCICE</t>
        </is>
      </c>
      <c r="C20" s="38">
        <f>(SUMIF('Calcul'!$B$2:$B$85,1,'Calcul'!$R$2:$R$85)-MAX(0,SUMIF('Calcul'!$B$2:$B$85,1,'Calcul'!$R$2:$R$85))*'Hypothèses'!$C$54)</f>
        <v/>
      </c>
      <c r="D20" s="38">
        <f>(SUMIF('Calcul'!$B$2:$B$85,2,'Calcul'!$R$2:$R$85)-MAX(0,SUMIF('Calcul'!$B$2:$B$85,2,'Calcul'!$R$2:$R$85))*'Hypothèses'!$C$54)</f>
        <v/>
      </c>
      <c r="E20" s="38">
        <f>(SUMIF('Calcul'!$B$2:$B$85,3,'Calcul'!$R$2:$R$85)-MAX(0,SUMIF('Calcul'!$B$2:$B$85,3,'Calcul'!$R$2:$R$85))*'Hypothèses'!$C$54)</f>
        <v/>
      </c>
      <c r="F20" s="38">
        <f>(SUMIF('Calcul'!$B$2:$B$85,4,'Calcul'!$R$2:$R$85)-MAX(0,SUMIF('Calcul'!$B$2:$B$85,4,'Calcul'!$R$2:$R$85))*'Hypothèses'!$C$54)</f>
        <v/>
      </c>
      <c r="G20" s="38">
        <f>(SUMIF('Calcul'!$B$2:$B$85,5,'Calcul'!$R$2:$R$85)-MAX(0,SUMIF('Calcul'!$B$2:$B$85,5,'Calcul'!$R$2:$R$85))*'Hypothèses'!$C$54)</f>
        <v/>
      </c>
      <c r="H20" s="38">
        <f>(SUMIF('Calcul'!$B$2:$B$85,6,'Calcul'!$R$2:$R$85)-MAX(0,SUMIF('Calcul'!$B$2:$B$85,6,'Calcul'!$R$2:$R$85))*'Hypothèses'!$C$54)</f>
        <v/>
      </c>
      <c r="I20" s="38">
        <f>(SUMIF('Calcul'!$B$2:$B$85,7,'Calcul'!$R$2:$R$85)-MAX(0,SUMIF('Calcul'!$B$2:$B$85,7,'Calcul'!$R$2:$R$85))*'Hypothèses'!$C$54)</f>
        <v/>
      </c>
      <c r="J20" s="39">
        <f>SUM(C20:I20)</f>
        <v/>
      </c>
    </row>
    <row r="21">
      <c r="B21" s="40" t="inlineStr">
        <is>
          <t>Résultat net cumulé</t>
        </is>
      </c>
      <c r="C21" s="41">
        <f>(SUMIF('Calcul'!$B$2:$B$85,1,'Calcul'!$R$2:$R$85)-MAX(0,SUMIF('Calcul'!$B$2:$B$85,1,'Calcul'!$R$2:$R$85))*'Hypothèses'!$C$54)</f>
        <v/>
      </c>
      <c r="D21" s="41">
        <f>(SUMIF('Calcul'!$B$2:$B$85,1,'Calcul'!$R$2:$R$85)-MAX(0,SUMIF('Calcul'!$B$2:$B$85,1,'Calcul'!$R$2:$R$85))*'Hypothèses'!$C$54)+(SUMIF('Calcul'!$B$2:$B$85,2,'Calcul'!$R$2:$R$85)-MAX(0,SUMIF('Calcul'!$B$2:$B$85,2,'Calcul'!$R$2:$R$85))*'Hypothèses'!$C$54)</f>
        <v/>
      </c>
      <c r="E21" s="41">
        <f>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</f>
        <v/>
      </c>
      <c r="F21" s="41">
        <f>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</f>
        <v/>
      </c>
      <c r="G21" s="41">
        <f>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+(SUMIF('Calcul'!$B$2:$B$85,5,'Calcul'!$R$2:$R$85)-MAX(0,SUMIF('Calcul'!$B$2:$B$85,5,'Calcul'!$R$2:$R$85))*'Hypothèses'!$C$54)</f>
        <v/>
      </c>
      <c r="H21" s="41">
        <f>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+(SUMIF('Calcul'!$B$2:$B$85,5,'Calcul'!$R$2:$R$85)-MAX(0,SUMIF('Calcul'!$B$2:$B$85,5,'Calcul'!$R$2:$R$85))*'Hypothèses'!$C$54)+(SUMIF('Calcul'!$B$2:$B$85,6,'Calcul'!$R$2:$R$85)-MAX(0,SUMIF('Calcul'!$B$2:$B$85,6,'Calcul'!$R$2:$R$85))*'Hypothèses'!$C$54)</f>
        <v/>
      </c>
      <c r="I21" s="41">
        <f>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+(SUMIF('Calcul'!$B$2:$B$85,5,'Calcul'!$R$2:$R$85)-MAX(0,SUMIF('Calcul'!$B$2:$B$85,5,'Calcul'!$R$2:$R$85))*'Hypothèses'!$C$54)+(SUMIF('Calcul'!$B$2:$B$85,6,'Calcul'!$R$2:$R$85)-MAX(0,SUMIF('Calcul'!$B$2:$B$85,6,'Calcul'!$R$2:$R$85))*'Hypothèses'!$C$54)+(SUMIF('Calcul'!$B$2:$B$85,7,'Calcul'!$R$2:$R$85)-MAX(0,SUMIF('Calcul'!$B$2:$B$85,7,'Calcul'!$R$2:$R$85))*'Hypothèses'!$C$54)</f>
        <v/>
      </c>
      <c r="J21" s="20">
        <f>I21</f>
        <v/>
      </c>
    </row>
    <row r="23">
      <c r="B23" s="17" t="inlineStr">
        <is>
          <t>Aucun amortissement de machine : le financement est porté par le leasing (location). Aucune charge financière bancaire : zéro emprunt.</t>
        </is>
      </c>
    </row>
  </sheetData>
  <mergeCells count="5">
    <mergeCell ref="B23:J23"/>
    <mergeCell ref="B1:J1"/>
    <mergeCell ref="B8:J8"/>
    <mergeCell ref="B6:J6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2" customHeight="1">
      <c r="B1" s="12" t="inlineStr">
        <is>
          <t>Bilan prévisionnel</t>
        </is>
      </c>
    </row>
    <row r="2">
      <c r="B2" s="13" t="inlineStr">
        <is>
          <t>Présentation normée (SCE Tunisie). En DT — machines en leasing = location simple (hors bilan). Équilibré par construction.</t>
        </is>
      </c>
    </row>
    <row r="4">
      <c r="C4" s="27" t="inlineStr">
        <is>
          <t>An 1</t>
        </is>
      </c>
      <c r="D4" s="27" t="inlineStr">
        <is>
          <t>An 2</t>
        </is>
      </c>
      <c r="E4" s="27" t="inlineStr">
        <is>
          <t>An 3</t>
        </is>
      </c>
      <c r="F4" s="27" t="inlineStr">
        <is>
          <t>An 4</t>
        </is>
      </c>
      <c r="G4" s="27" t="inlineStr">
        <is>
          <t>An 5</t>
        </is>
      </c>
      <c r="H4" s="27" t="inlineStr">
        <is>
          <t>An 6</t>
        </is>
      </c>
      <c r="I4" s="27" t="inlineStr">
        <is>
          <t>An 7</t>
        </is>
      </c>
    </row>
    <row r="5">
      <c r="B5" s="42" t="inlineStr">
        <is>
          <t xml:space="preserve">  ACTIFS</t>
        </is>
      </c>
    </row>
    <row r="6">
      <c r="B6" s="31" t="inlineStr">
        <is>
          <t xml:space="preserve">   Actifs non courants (immobilisations)</t>
        </is>
      </c>
      <c r="C6" s="32">
        <f>0</f>
        <v/>
      </c>
      <c r="D6" s="32">
        <f>0</f>
        <v/>
      </c>
      <c r="E6" s="32">
        <f>0</f>
        <v/>
      </c>
      <c r="F6" s="32">
        <f>0</f>
        <v/>
      </c>
      <c r="G6" s="32">
        <f>0</f>
        <v/>
      </c>
      <c r="H6" s="32">
        <f>0</f>
        <v/>
      </c>
      <c r="I6" s="32">
        <f>0</f>
        <v/>
      </c>
    </row>
    <row r="7">
      <c r="B7" s="31" t="inlineStr">
        <is>
          <t xml:space="preserve">   Actifs courants — trésorerie &amp; équivalents</t>
        </is>
      </c>
      <c r="C7" s="32">
        <f>'Calcul'!$T$13</f>
        <v/>
      </c>
      <c r="D7" s="32">
        <f>'Calcul'!$T$25-'Hypothèses'!$C$56*((SUMIF('Calcul'!$B$2:$B$85,1,'Calcul'!$R$2:$R$85)-MAX(0,SUMIF('Calcul'!$B$2:$B$85,1,'Calcul'!$R$2:$R$85))*'Hypothèses'!$C$54))</f>
        <v/>
      </c>
      <c r="E7" s="32">
        <f>'Calcul'!$T$37-'Hypothèses'!$C$56*((SUMIF('Calcul'!$B$2:$B$85,1,'Calcul'!$R$2:$R$85)-MAX(0,SUMIF('Calcul'!$B$2:$B$85,1,'Calcul'!$R$2:$R$85))*'Hypothèses'!$C$54)+(SUMIF('Calcul'!$B$2:$B$85,2,'Calcul'!$R$2:$R$85)-MAX(0,SUMIF('Calcul'!$B$2:$B$85,2,'Calcul'!$R$2:$R$85))*'Hypothèses'!$C$54))</f>
        <v/>
      </c>
      <c r="F7" s="32">
        <f>'Calcul'!$T$49-'Hypothèses'!$C$56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)</f>
        <v/>
      </c>
      <c r="G7" s="32">
        <f>'Calcul'!$T$61-'Hypothèses'!$C$56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)</f>
        <v/>
      </c>
      <c r="H7" s="32">
        <f>'Calcul'!$T$73-'Hypothèses'!$C$56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+(SUMIF('Calcul'!$B$2:$B$85,5,'Calcul'!$R$2:$R$85)-MAX(0,SUMIF('Calcul'!$B$2:$B$85,5,'Calcul'!$R$2:$R$85))*'Hypothèses'!$C$54))</f>
        <v/>
      </c>
      <c r="I7" s="32">
        <f>'Calcul'!$T$85-'Hypothèses'!$C$56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+(SUMIF('Calcul'!$B$2:$B$85,5,'Calcul'!$R$2:$R$85)-MAX(0,SUMIF('Calcul'!$B$2:$B$85,5,'Calcul'!$R$2:$R$85))*'Hypothèses'!$C$54)+(SUMIF('Calcul'!$B$2:$B$85,6,'Calcul'!$R$2:$R$85)-MAX(0,SUMIF('Calcul'!$B$2:$B$85,6,'Calcul'!$R$2:$R$85))*'Hypothèses'!$C$54))</f>
        <v/>
      </c>
    </row>
    <row r="8">
      <c r="B8" s="43" t="inlineStr">
        <is>
          <t>TOTAL DES ACTIFS</t>
        </is>
      </c>
      <c r="C8" s="36">
        <f>C6+C7</f>
        <v/>
      </c>
      <c r="D8" s="36">
        <f>D6+D7</f>
        <v/>
      </c>
      <c r="E8" s="36">
        <f>E6+E7</f>
        <v/>
      </c>
      <c r="F8" s="36">
        <f>F6+F7</f>
        <v/>
      </c>
      <c r="G8" s="36">
        <f>G6+G7</f>
        <v/>
      </c>
      <c r="H8" s="36">
        <f>H6+H7</f>
        <v/>
      </c>
      <c r="I8" s="36">
        <f>I6+I7</f>
        <v/>
      </c>
    </row>
    <row r="9">
      <c r="B9" s="42" t="inlineStr">
        <is>
          <t xml:space="preserve">  CAPITAUX PROPRES &amp; PASSIFS</t>
        </is>
      </c>
    </row>
    <row r="10">
      <c r="B10" s="31" t="inlineStr">
        <is>
          <t xml:space="preserve">   Capital social</t>
        </is>
      </c>
      <c r="C10" s="32">
        <f>'Hypothèses'!$C$55</f>
        <v/>
      </c>
      <c r="D10" s="32">
        <f>'Hypothèses'!$C$55</f>
        <v/>
      </c>
      <c r="E10" s="32">
        <f>'Hypothèses'!$C$55</f>
        <v/>
      </c>
      <c r="F10" s="32">
        <f>'Hypothèses'!$C$55</f>
        <v/>
      </c>
      <c r="G10" s="32">
        <f>'Hypothèses'!$C$55</f>
        <v/>
      </c>
      <c r="H10" s="32">
        <f>'Hypothèses'!$C$55</f>
        <v/>
      </c>
      <c r="I10" s="32">
        <f>'Hypothèses'!$C$55</f>
        <v/>
      </c>
    </row>
    <row r="11">
      <c r="B11" s="31" t="inlineStr">
        <is>
          <t xml:space="preserve">   Réserves &amp; résultats reportés</t>
        </is>
      </c>
      <c r="C11" s="32">
        <f>(1-'Hypothèses'!$C$56)*((SUMIF('Calcul'!$B$2:$B$85,1,'Calcul'!$R$2:$R$85)-MAX(0,SUMIF('Calcul'!$B$2:$B$85,1,'Calcul'!$R$2:$R$85))*'Hypothèses'!$C$54))</f>
        <v/>
      </c>
      <c r="D11" s="32">
        <f>(1-'Hypothèses'!$C$56)*((SUMIF('Calcul'!$B$2:$B$85,1,'Calcul'!$R$2:$R$85)-MAX(0,SUMIF('Calcul'!$B$2:$B$85,1,'Calcul'!$R$2:$R$85))*'Hypothèses'!$C$54)+(SUMIF('Calcul'!$B$2:$B$85,2,'Calcul'!$R$2:$R$85)-MAX(0,SUMIF('Calcul'!$B$2:$B$85,2,'Calcul'!$R$2:$R$85))*'Hypothèses'!$C$54))</f>
        <v/>
      </c>
      <c r="E11" s="32">
        <f>(1-'Hypothèses'!$C$56)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)</f>
        <v/>
      </c>
      <c r="F11" s="32">
        <f>(1-'Hypothèses'!$C$56)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)</f>
        <v/>
      </c>
      <c r="G11" s="32">
        <f>(1-'Hypothèses'!$C$56)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+(SUMIF('Calcul'!$B$2:$B$85,5,'Calcul'!$R$2:$R$85)-MAX(0,SUMIF('Calcul'!$B$2:$B$85,5,'Calcul'!$R$2:$R$85))*'Hypothèses'!$C$54))</f>
        <v/>
      </c>
      <c r="H11" s="32">
        <f>(1-'Hypothèses'!$C$56)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+(SUMIF('Calcul'!$B$2:$B$85,5,'Calcul'!$R$2:$R$85)-MAX(0,SUMIF('Calcul'!$B$2:$B$85,5,'Calcul'!$R$2:$R$85))*'Hypothèses'!$C$54)+(SUMIF('Calcul'!$B$2:$B$85,6,'Calcul'!$R$2:$R$85)-MAX(0,SUMIF('Calcul'!$B$2:$B$85,6,'Calcul'!$R$2:$R$85))*'Hypothèses'!$C$54))</f>
        <v/>
      </c>
      <c r="I11" s="32">
        <f>(1-'Hypothèses'!$C$56)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+(SUMIF('Calcul'!$B$2:$B$85,5,'Calcul'!$R$2:$R$85)-MAX(0,SUMIF('Calcul'!$B$2:$B$85,5,'Calcul'!$R$2:$R$85))*'Hypothèses'!$C$54)+(SUMIF('Calcul'!$B$2:$B$85,6,'Calcul'!$R$2:$R$85)-MAX(0,SUMIF('Calcul'!$B$2:$B$85,6,'Calcul'!$R$2:$R$85))*'Hypothèses'!$C$54)+(SUMIF('Calcul'!$B$2:$B$85,7,'Calcul'!$R$2:$R$85)-MAX(0,SUMIF('Calcul'!$B$2:$B$85,7,'Calcul'!$R$2:$R$85))*'Hypothèses'!$C$54))</f>
        <v/>
      </c>
    </row>
    <row r="12">
      <c r="B12" s="24" t="inlineStr">
        <is>
          <t>Total des capitaux propres</t>
        </is>
      </c>
      <c r="C12" s="30">
        <f>C10+C11</f>
        <v/>
      </c>
      <c r="D12" s="30">
        <f>D10+D11</f>
        <v/>
      </c>
      <c r="E12" s="30">
        <f>E10+E11</f>
        <v/>
      </c>
      <c r="F12" s="30">
        <f>F10+F11</f>
        <v/>
      </c>
      <c r="G12" s="30">
        <f>G10+G11</f>
        <v/>
      </c>
      <c r="H12" s="30">
        <f>H10+H11</f>
        <v/>
      </c>
      <c r="I12" s="30">
        <f>I10+I11</f>
        <v/>
      </c>
      <c r="J12" s="20">
        <f>SUM(C12:I12)</f>
        <v/>
      </c>
    </row>
    <row r="13">
      <c r="B13" s="31" t="inlineStr">
        <is>
          <t xml:space="preserve">   Passifs courants — dividendes à payer</t>
        </is>
      </c>
      <c r="C13" s="32">
        <f>'Hypothèses'!$C$56*(SUMIF('Calcul'!$B$2:$B$85,1,'Calcul'!$R$2:$R$85)-MAX(0,SUMIF('Calcul'!$B$2:$B$85,1,'Calcul'!$R$2:$R$85))*'Hypothèses'!$C$54)</f>
        <v/>
      </c>
      <c r="D13" s="32">
        <f>'Hypothèses'!$C$56*(SUMIF('Calcul'!$B$2:$B$85,2,'Calcul'!$R$2:$R$85)-MAX(0,SUMIF('Calcul'!$B$2:$B$85,2,'Calcul'!$R$2:$R$85))*'Hypothèses'!$C$54)</f>
        <v/>
      </c>
      <c r="E13" s="32">
        <f>'Hypothèses'!$C$56*(SUMIF('Calcul'!$B$2:$B$85,3,'Calcul'!$R$2:$R$85)-MAX(0,SUMIF('Calcul'!$B$2:$B$85,3,'Calcul'!$R$2:$R$85))*'Hypothèses'!$C$54)</f>
        <v/>
      </c>
      <c r="F13" s="32">
        <f>'Hypothèses'!$C$56*(SUMIF('Calcul'!$B$2:$B$85,4,'Calcul'!$R$2:$R$85)-MAX(0,SUMIF('Calcul'!$B$2:$B$85,4,'Calcul'!$R$2:$R$85))*'Hypothèses'!$C$54)</f>
        <v/>
      </c>
      <c r="G13" s="32">
        <f>'Hypothèses'!$C$56*(SUMIF('Calcul'!$B$2:$B$85,5,'Calcul'!$R$2:$R$85)-MAX(0,SUMIF('Calcul'!$B$2:$B$85,5,'Calcul'!$R$2:$R$85))*'Hypothèses'!$C$54)</f>
        <v/>
      </c>
      <c r="H13" s="32">
        <f>'Hypothèses'!$C$56*(SUMIF('Calcul'!$B$2:$B$85,6,'Calcul'!$R$2:$R$85)-MAX(0,SUMIF('Calcul'!$B$2:$B$85,6,'Calcul'!$R$2:$R$85))*'Hypothèses'!$C$54)</f>
        <v/>
      </c>
      <c r="I13" s="32">
        <f>'Hypothèses'!$C$56*(SUMIF('Calcul'!$B$2:$B$85,7,'Calcul'!$R$2:$R$85)-MAX(0,SUMIF('Calcul'!$B$2:$B$85,7,'Calcul'!$R$2:$R$85))*'Hypothèses'!$C$54)</f>
        <v/>
      </c>
    </row>
    <row r="14">
      <c r="B14" s="31" t="inlineStr">
        <is>
          <t xml:space="preserve">   Passifs courants — impôt à payer (exigible N+1)</t>
        </is>
      </c>
      <c r="C14" s="32">
        <f>MAX(0,SUMIF('Calcul'!$B$2:$B$85,1,'Calcul'!$R$2:$R$85))*'Hypothèses'!$C$54</f>
        <v/>
      </c>
      <c r="D14" s="32">
        <f>MAX(0,SUMIF('Calcul'!$B$2:$B$85,2,'Calcul'!$R$2:$R$85))*'Hypothèses'!$C$54</f>
        <v/>
      </c>
      <c r="E14" s="32">
        <f>MAX(0,SUMIF('Calcul'!$B$2:$B$85,3,'Calcul'!$R$2:$R$85))*'Hypothèses'!$C$54</f>
        <v/>
      </c>
      <c r="F14" s="32">
        <f>MAX(0,SUMIF('Calcul'!$B$2:$B$85,4,'Calcul'!$R$2:$R$85))*'Hypothèses'!$C$54</f>
        <v/>
      </c>
      <c r="G14" s="32">
        <f>MAX(0,SUMIF('Calcul'!$B$2:$B$85,5,'Calcul'!$R$2:$R$85))*'Hypothèses'!$C$54</f>
        <v/>
      </c>
      <c r="H14" s="32">
        <f>MAX(0,SUMIF('Calcul'!$B$2:$B$85,6,'Calcul'!$R$2:$R$85))*'Hypothèses'!$C$54</f>
        <v/>
      </c>
      <c r="I14" s="32">
        <f>MAX(0,SUMIF('Calcul'!$B$2:$B$85,7,'Calcul'!$R$2:$R$85))*'Hypothèses'!$C$54</f>
        <v/>
      </c>
    </row>
    <row r="15">
      <c r="B15" s="10" t="inlineStr">
        <is>
          <t>Total des passifs courants</t>
        </is>
      </c>
      <c r="C15" s="33">
        <f>C13+C14</f>
        <v/>
      </c>
      <c r="D15" s="33">
        <f>D13+D14</f>
        <v/>
      </c>
      <c r="E15" s="33">
        <f>E13+E14</f>
        <v/>
      </c>
      <c r="F15" s="33">
        <f>F13+F14</f>
        <v/>
      </c>
      <c r="G15" s="33">
        <f>G13+G14</f>
        <v/>
      </c>
      <c r="H15" s="33">
        <f>H13+H14</f>
        <v/>
      </c>
      <c r="I15" s="33">
        <f>I13+I14</f>
        <v/>
      </c>
      <c r="J15" s="20">
        <f>SUM(C15:I15)</f>
        <v/>
      </c>
    </row>
    <row r="16">
      <c r="B16" s="43" t="inlineStr">
        <is>
          <t>TOTAL CAPITAUX PROPRES &amp; PASSIFS</t>
        </is>
      </c>
      <c r="C16" s="36">
        <f>C12+C15</f>
        <v/>
      </c>
      <c r="D16" s="36">
        <f>D12+D15</f>
        <v/>
      </c>
      <c r="E16" s="36">
        <f>E12+E15</f>
        <v/>
      </c>
      <c r="F16" s="36">
        <f>F12+F15</f>
        <v/>
      </c>
      <c r="G16" s="36">
        <f>G12+G15</f>
        <v/>
      </c>
      <c r="H16" s="36">
        <f>H12+H15</f>
        <v/>
      </c>
      <c r="I16" s="36">
        <f>I12+I15</f>
        <v/>
      </c>
    </row>
    <row r="17">
      <c r="B17" s="31" t="inlineStr">
        <is>
          <t>Contrôle (Actif − Passif ≈ 0)</t>
        </is>
      </c>
      <c r="C17" s="32">
        <f>C8-C16</f>
        <v/>
      </c>
      <c r="D17" s="32">
        <f>D8-D16</f>
        <v/>
      </c>
      <c r="E17" s="32">
        <f>E8-E16</f>
        <v/>
      </c>
      <c r="F17" s="32">
        <f>F8-F16</f>
        <v/>
      </c>
      <c r="G17" s="32">
        <f>G8-G16</f>
        <v/>
      </c>
      <c r="H17" s="32">
        <f>H8-H16</f>
        <v/>
      </c>
      <c r="I17" s="32">
        <f>I8-I16</f>
        <v/>
      </c>
    </row>
  </sheetData>
  <mergeCells count="4">
    <mergeCell ref="B9:J9"/>
    <mergeCell ref="B1:J1"/>
    <mergeCell ref="B5:J5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2" customHeight="1">
      <c r="B1" s="12" t="inlineStr">
        <is>
          <t>État de flux de trésorerie prévisionnel</t>
        </is>
      </c>
    </row>
    <row r="2">
      <c r="B2" s="13" t="inlineStr">
        <is>
          <t>Présentation par activité (norme tunisienne). En DT — aucun flux d'investissement : les machines sont en leasing.</t>
        </is>
      </c>
    </row>
    <row r="4">
      <c r="C4" s="27" t="inlineStr">
        <is>
          <t>An 1</t>
        </is>
      </c>
      <c r="D4" s="27" t="inlineStr">
        <is>
          <t>An 2</t>
        </is>
      </c>
      <c r="E4" s="27" t="inlineStr">
        <is>
          <t>An 3</t>
        </is>
      </c>
      <c r="F4" s="27" t="inlineStr">
        <is>
          <t>An 4</t>
        </is>
      </c>
      <c r="G4" s="27" t="inlineStr">
        <is>
          <t>An 5</t>
        </is>
      </c>
      <c r="H4" s="27" t="inlineStr">
        <is>
          <t>An 6</t>
        </is>
      </c>
      <c r="I4" s="27" t="inlineStr">
        <is>
          <t>An 7</t>
        </is>
      </c>
      <c r="J4" s="28" t="inlineStr">
        <is>
          <t>Total 7 ans</t>
        </is>
      </c>
    </row>
    <row r="5">
      <c r="B5" s="44" t="inlineStr">
        <is>
          <t xml:space="preserve">  FLUX LIÉS À L'EXPLOITATION</t>
        </is>
      </c>
    </row>
    <row r="6">
      <c r="B6" s="31" t="inlineStr">
        <is>
          <t xml:space="preserve">   EBITDA (capacité d'autofinancement)</t>
        </is>
      </c>
      <c r="C6" s="32">
        <f>SUMIF('Calcul'!$B$2:$B$85,1,'Calcul'!$R$2:$R$85)</f>
        <v/>
      </c>
      <c r="D6" s="32">
        <f>SUMIF('Calcul'!$B$2:$B$85,2,'Calcul'!$R$2:$R$85)</f>
        <v/>
      </c>
      <c r="E6" s="32">
        <f>SUMIF('Calcul'!$B$2:$B$85,3,'Calcul'!$R$2:$R$85)</f>
        <v/>
      </c>
      <c r="F6" s="32">
        <f>SUMIF('Calcul'!$B$2:$B$85,4,'Calcul'!$R$2:$R$85)</f>
        <v/>
      </c>
      <c r="G6" s="32">
        <f>SUMIF('Calcul'!$B$2:$B$85,5,'Calcul'!$R$2:$R$85)</f>
        <v/>
      </c>
      <c r="H6" s="32">
        <f>SUMIF('Calcul'!$B$2:$B$85,6,'Calcul'!$R$2:$R$85)</f>
        <v/>
      </c>
      <c r="I6" s="32">
        <f>SUMIF('Calcul'!$B$2:$B$85,7,'Calcul'!$R$2:$R$85)</f>
        <v/>
      </c>
      <c r="J6" s="20">
        <f>SUM(C6:I6)</f>
        <v/>
      </c>
    </row>
    <row r="7">
      <c r="B7" s="31" t="inlineStr">
        <is>
          <t xml:space="preserve">   (−) Impôt décaissé sur l'exercice</t>
        </is>
      </c>
      <c r="C7" s="32">
        <f>-SUMIF('Calcul'!$B$2:$B$85,1,'Calcul'!$S$2:$S$85)</f>
        <v/>
      </c>
      <c r="D7" s="32">
        <f>-SUMIF('Calcul'!$B$2:$B$85,2,'Calcul'!$S$2:$S$85)</f>
        <v/>
      </c>
      <c r="E7" s="32">
        <f>-SUMIF('Calcul'!$B$2:$B$85,3,'Calcul'!$S$2:$S$85)</f>
        <v/>
      </c>
      <c r="F7" s="32">
        <f>-SUMIF('Calcul'!$B$2:$B$85,4,'Calcul'!$S$2:$S$85)</f>
        <v/>
      </c>
      <c r="G7" s="32">
        <f>-SUMIF('Calcul'!$B$2:$B$85,5,'Calcul'!$S$2:$S$85)</f>
        <v/>
      </c>
      <c r="H7" s="32">
        <f>-SUMIF('Calcul'!$B$2:$B$85,6,'Calcul'!$S$2:$S$85)</f>
        <v/>
      </c>
      <c r="I7" s="32">
        <f>-SUMIF('Calcul'!$B$2:$B$85,7,'Calcul'!$S$2:$S$85)</f>
        <v/>
      </c>
      <c r="J7" s="20">
        <f>SUM(C7:I7)</f>
        <v/>
      </c>
    </row>
    <row r="8">
      <c r="B8" s="34" t="inlineStr">
        <is>
          <t>Flux net de trésorerie d'exploitation</t>
        </is>
      </c>
      <c r="C8" s="35">
        <f>C6+C7</f>
        <v/>
      </c>
      <c r="D8" s="35">
        <f>D6+D7</f>
        <v/>
      </c>
      <c r="E8" s="35">
        <f>E6+E7</f>
        <v/>
      </c>
      <c r="F8" s="35">
        <f>F6+F7</f>
        <v/>
      </c>
      <c r="G8" s="35">
        <f>G6+G7</f>
        <v/>
      </c>
      <c r="H8" s="35">
        <f>H6+H7</f>
        <v/>
      </c>
      <c r="I8" s="35">
        <f>I6+I7</f>
        <v/>
      </c>
      <c r="J8" s="36">
        <f>SUM(C8:I8)</f>
        <v/>
      </c>
    </row>
    <row r="9">
      <c r="B9" s="44" t="inlineStr">
        <is>
          <t xml:space="preserve">  FLUX LIÉS À L'INVESTISSEMENT</t>
        </is>
      </c>
    </row>
    <row r="10">
      <c r="B10" s="31" t="inlineStr">
        <is>
          <t xml:space="preserve">   Acquisitions d'immobilisations (machines en leasing)</t>
        </is>
      </c>
      <c r="C10" s="32">
        <f>0</f>
        <v/>
      </c>
      <c r="D10" s="32">
        <f>0</f>
        <v/>
      </c>
      <c r="E10" s="32">
        <f>0</f>
        <v/>
      </c>
      <c r="F10" s="32">
        <f>0</f>
        <v/>
      </c>
      <c r="G10" s="32">
        <f>0</f>
        <v/>
      </c>
      <c r="H10" s="32">
        <f>0</f>
        <v/>
      </c>
      <c r="I10" s="32">
        <f>0</f>
        <v/>
      </c>
      <c r="J10" s="20">
        <f>SUM(C10:I10)</f>
        <v/>
      </c>
    </row>
    <row r="11">
      <c r="B11" s="34" t="inlineStr">
        <is>
          <t>Flux net de trésorerie d'investissement</t>
        </is>
      </c>
      <c r="C11" s="35">
        <f>0</f>
        <v/>
      </c>
      <c r="D11" s="35">
        <f>0</f>
        <v/>
      </c>
      <c r="E11" s="35">
        <f>0</f>
        <v/>
      </c>
      <c r="F11" s="35">
        <f>0</f>
        <v/>
      </c>
      <c r="G11" s="35">
        <f>0</f>
        <v/>
      </c>
      <c r="H11" s="35">
        <f>0</f>
        <v/>
      </c>
      <c r="I11" s="35">
        <f>0</f>
        <v/>
      </c>
      <c r="J11" s="36">
        <f>SUM(C11:I11)</f>
        <v/>
      </c>
    </row>
    <row r="12">
      <c r="B12" s="44" t="inlineStr">
        <is>
          <t xml:space="preserve">  FLUX LIÉS AU FINANCEMENT</t>
        </is>
      </c>
    </row>
    <row r="13">
      <c r="B13" s="31" t="inlineStr">
        <is>
          <t xml:space="preserve">   Apport en capital</t>
        </is>
      </c>
      <c r="C13" s="32">
        <f>'Hypothèses'!$C$55</f>
        <v/>
      </c>
      <c r="D13" s="32">
        <f>0</f>
        <v/>
      </c>
      <c r="E13" s="32">
        <f>0</f>
        <v/>
      </c>
      <c r="F13" s="32">
        <f>0</f>
        <v/>
      </c>
      <c r="G13" s="32">
        <f>0</f>
        <v/>
      </c>
      <c r="H13" s="32">
        <f>0</f>
        <v/>
      </c>
      <c r="I13" s="32">
        <f>0</f>
        <v/>
      </c>
      <c r="J13" s="20">
        <f>SUM(C13:I13)</f>
        <v/>
      </c>
    </row>
    <row r="14">
      <c r="B14" s="31" t="inlineStr">
        <is>
          <t xml:space="preserve">   Dividendes versés (au titre de l'exercice N-1)</t>
        </is>
      </c>
      <c r="C14" s="32">
        <f>0</f>
        <v/>
      </c>
      <c r="D14" s="32">
        <f>-'Hypothèses'!$C$56*(SUMIF('Calcul'!$B$2:$B$85,1,'Calcul'!$R$2:$R$85)-MAX(0,SUMIF('Calcul'!$B$2:$B$85,1,'Calcul'!$R$2:$R$85))*'Hypothèses'!$C$54)</f>
        <v/>
      </c>
      <c r="E14" s="32">
        <f>-'Hypothèses'!$C$56*(SUMIF('Calcul'!$B$2:$B$85,2,'Calcul'!$R$2:$R$85)-MAX(0,SUMIF('Calcul'!$B$2:$B$85,2,'Calcul'!$R$2:$R$85))*'Hypothèses'!$C$54)</f>
        <v/>
      </c>
      <c r="F14" s="32">
        <f>-'Hypothèses'!$C$56*(SUMIF('Calcul'!$B$2:$B$85,3,'Calcul'!$R$2:$R$85)-MAX(0,SUMIF('Calcul'!$B$2:$B$85,3,'Calcul'!$R$2:$R$85))*'Hypothèses'!$C$54)</f>
        <v/>
      </c>
      <c r="G14" s="32">
        <f>-'Hypothèses'!$C$56*(SUMIF('Calcul'!$B$2:$B$85,4,'Calcul'!$R$2:$R$85)-MAX(0,SUMIF('Calcul'!$B$2:$B$85,4,'Calcul'!$R$2:$R$85))*'Hypothèses'!$C$54)</f>
        <v/>
      </c>
      <c r="H14" s="32">
        <f>-'Hypothèses'!$C$56*(SUMIF('Calcul'!$B$2:$B$85,5,'Calcul'!$R$2:$R$85)-MAX(0,SUMIF('Calcul'!$B$2:$B$85,5,'Calcul'!$R$2:$R$85))*'Hypothèses'!$C$54)</f>
        <v/>
      </c>
      <c r="I14" s="32">
        <f>-'Hypothèses'!$C$56*(SUMIF('Calcul'!$B$2:$B$85,6,'Calcul'!$R$2:$R$85)-MAX(0,SUMIF('Calcul'!$B$2:$B$85,6,'Calcul'!$R$2:$R$85))*'Hypothèses'!$C$54)</f>
        <v/>
      </c>
      <c r="J14" s="20">
        <f>SUM(C14:I14)</f>
        <v/>
      </c>
    </row>
    <row r="15">
      <c r="B15" s="34" t="inlineStr">
        <is>
          <t>Flux net de trésorerie de financement</t>
        </is>
      </c>
      <c r="C15" s="35">
        <f>C13+C14</f>
        <v/>
      </c>
      <c r="D15" s="35">
        <f>D13+D14</f>
        <v/>
      </c>
      <c r="E15" s="35">
        <f>E13+E14</f>
        <v/>
      </c>
      <c r="F15" s="35">
        <f>F13+F14</f>
        <v/>
      </c>
      <c r="G15" s="35">
        <f>G13+G14</f>
        <v/>
      </c>
      <c r="H15" s="35">
        <f>H13+H14</f>
        <v/>
      </c>
      <c r="I15" s="35">
        <f>I13+I14</f>
        <v/>
      </c>
      <c r="J15" s="36">
        <f>SUM(C15:I15)</f>
        <v/>
      </c>
    </row>
    <row r="16">
      <c r="B16" s="24" t="inlineStr">
        <is>
          <t>VARIATION DE TRÉSORERIE</t>
        </is>
      </c>
      <c r="C16" s="30">
        <f>C8+C11+C15</f>
        <v/>
      </c>
      <c r="D16" s="30">
        <f>D8+D11+D15</f>
        <v/>
      </c>
      <c r="E16" s="30">
        <f>E8+E11+E15</f>
        <v/>
      </c>
      <c r="F16" s="30">
        <f>F8+F11+F15</f>
        <v/>
      </c>
      <c r="G16" s="30">
        <f>G8+G11+G15</f>
        <v/>
      </c>
      <c r="H16" s="30">
        <f>H8+H11+H15</f>
        <v/>
      </c>
      <c r="I16" s="30">
        <f>I8+I11+I15</f>
        <v/>
      </c>
      <c r="J16" s="20">
        <f>SUM(C16:I16)</f>
        <v/>
      </c>
    </row>
    <row r="17">
      <c r="B17" s="31" t="inlineStr">
        <is>
          <t xml:space="preserve">   Trésorerie à l'ouverture</t>
        </is>
      </c>
      <c r="C17" s="32">
        <f>0</f>
        <v/>
      </c>
      <c r="D17" s="32">
        <f>C18</f>
        <v/>
      </c>
      <c r="E17" s="32">
        <f>D18</f>
        <v/>
      </c>
      <c r="F17" s="32">
        <f>E18</f>
        <v/>
      </c>
      <c r="G17" s="32">
        <f>F18</f>
        <v/>
      </c>
      <c r="H17" s="32">
        <f>G18</f>
        <v/>
      </c>
      <c r="I17" s="32">
        <f>H18</f>
        <v/>
      </c>
    </row>
    <row r="18">
      <c r="B18" s="37" t="inlineStr">
        <is>
          <t>Trésorerie à la clôture</t>
        </is>
      </c>
      <c r="C18" s="38">
        <f>C17+C16</f>
        <v/>
      </c>
      <c r="D18" s="38">
        <f>D17+D16</f>
        <v/>
      </c>
      <c r="E18" s="38">
        <f>E17+E16</f>
        <v/>
      </c>
      <c r="F18" s="38">
        <f>F17+F16</f>
        <v/>
      </c>
      <c r="G18" s="38">
        <f>G17+G16</f>
        <v/>
      </c>
      <c r="H18" s="38">
        <f>H17+H16</f>
        <v/>
      </c>
      <c r="I18" s="38">
        <f>I17+I16</f>
        <v/>
      </c>
    </row>
    <row r="20">
      <c r="B20" s="40" t="inlineStr">
        <is>
          <t>Trésorerie minimale sur 84 mois (avant distributions)</t>
        </is>
      </c>
      <c r="C20" s="25">
        <f>MIN('Calcul'!$T$2:$T$85)</f>
        <v/>
      </c>
      <c r="D20" s="17" t="inlineStr">
        <is>
          <t>→ le capital de 300 k suffit comme fonds de roulement, sans dette bancaire</t>
        </is>
      </c>
    </row>
  </sheetData>
  <mergeCells count="6">
    <mergeCell ref="B5:J5"/>
    <mergeCell ref="D20:J20"/>
    <mergeCell ref="B9:J9"/>
    <mergeCell ref="B1:J1"/>
    <mergeCell ref="B12:J12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2" customHeight="1">
      <c r="B1" s="12" t="inlineStr">
        <is>
          <t>Ratios &amp; indicateurs financiers</t>
        </is>
      </c>
    </row>
    <row r="2">
      <c r="B2" s="13" t="inlineStr">
        <is>
          <t>Agrégats et ratios usuels d'analyse crédit (EBITDA, marges, couverture, rentabilité). Recalcul automatique.</t>
        </is>
      </c>
    </row>
    <row r="4">
      <c r="C4" s="27" t="inlineStr">
        <is>
          <t>An 1</t>
        </is>
      </c>
      <c r="D4" s="27" t="inlineStr">
        <is>
          <t>An 2</t>
        </is>
      </c>
      <c r="E4" s="27" t="inlineStr">
        <is>
          <t>An 3</t>
        </is>
      </c>
      <c r="F4" s="27" t="inlineStr">
        <is>
          <t>An 4</t>
        </is>
      </c>
      <c r="G4" s="27" t="inlineStr">
        <is>
          <t>An 5</t>
        </is>
      </c>
      <c r="H4" s="27" t="inlineStr">
        <is>
          <t>An 6</t>
        </is>
      </c>
      <c r="I4" s="27" t="inlineStr">
        <is>
          <t>An 7</t>
        </is>
      </c>
      <c r="J4" s="28" t="inlineStr">
        <is>
          <t>Total 7 ans</t>
        </is>
      </c>
    </row>
    <row r="5">
      <c r="B5" s="14" t="inlineStr">
        <is>
          <t xml:space="preserve">  SOLDES &amp; AGRÉGATS</t>
        </is>
      </c>
    </row>
    <row r="6">
      <c r="B6" s="24" t="inlineStr">
        <is>
          <t>Chiffre d'affaires (revenus)</t>
        </is>
      </c>
      <c r="C6" s="30">
        <f>SUMIF('Calcul'!$B$2:$B$85,1,'Calcul'!$H$2:$H$85)</f>
        <v/>
      </c>
      <c r="D6" s="30">
        <f>SUMIF('Calcul'!$B$2:$B$85,2,'Calcul'!$H$2:$H$85)</f>
        <v/>
      </c>
      <c r="E6" s="30">
        <f>SUMIF('Calcul'!$B$2:$B$85,3,'Calcul'!$H$2:$H$85)</f>
        <v/>
      </c>
      <c r="F6" s="30">
        <f>SUMIF('Calcul'!$B$2:$B$85,4,'Calcul'!$H$2:$H$85)</f>
        <v/>
      </c>
      <c r="G6" s="30">
        <f>SUMIF('Calcul'!$B$2:$B$85,5,'Calcul'!$H$2:$H$85)</f>
        <v/>
      </c>
      <c r="H6" s="30">
        <f>SUMIF('Calcul'!$B$2:$B$85,6,'Calcul'!$H$2:$H$85)</f>
        <v/>
      </c>
      <c r="I6" s="30">
        <f>SUMIF('Calcul'!$B$2:$B$85,7,'Calcul'!$H$2:$H$85)</f>
        <v/>
      </c>
      <c r="J6" s="20">
        <f>SUM(C6:I6)</f>
        <v/>
      </c>
    </row>
    <row r="7">
      <c r="B7" s="31" t="inlineStr">
        <is>
          <t xml:space="preserve">   Croissance du chiffre d'affaires</t>
        </is>
      </c>
      <c r="C7" s="45">
        <f>"—"</f>
        <v/>
      </c>
      <c r="D7" s="45">
        <f>SUMIF('Calcul'!$B$2:$B$85,2,'Calcul'!$H$2:$H$85)/SUMIF('Calcul'!$B$2:$B$85,1,'Calcul'!$H$2:$H$85)-1</f>
        <v/>
      </c>
      <c r="E7" s="45">
        <f>SUMIF('Calcul'!$B$2:$B$85,3,'Calcul'!$H$2:$H$85)/SUMIF('Calcul'!$B$2:$B$85,2,'Calcul'!$H$2:$H$85)-1</f>
        <v/>
      </c>
      <c r="F7" s="45">
        <f>SUMIF('Calcul'!$B$2:$B$85,4,'Calcul'!$H$2:$H$85)/SUMIF('Calcul'!$B$2:$B$85,3,'Calcul'!$H$2:$H$85)-1</f>
        <v/>
      </c>
      <c r="G7" s="45">
        <f>SUMIF('Calcul'!$B$2:$B$85,5,'Calcul'!$H$2:$H$85)/SUMIF('Calcul'!$B$2:$B$85,4,'Calcul'!$H$2:$H$85)-1</f>
        <v/>
      </c>
      <c r="H7" s="45">
        <f>SUMIF('Calcul'!$B$2:$B$85,6,'Calcul'!$H$2:$H$85)/SUMIF('Calcul'!$B$2:$B$85,5,'Calcul'!$H$2:$H$85)-1</f>
        <v/>
      </c>
      <c r="I7" s="45">
        <f>SUMIF('Calcul'!$B$2:$B$85,7,'Calcul'!$H$2:$H$85)/SUMIF('Calcul'!$B$2:$B$85,6,'Calcul'!$H$2:$H$85)-1</f>
        <v/>
      </c>
    </row>
    <row r="8">
      <c r="B8" s="34" t="inlineStr">
        <is>
          <t>EBITDA (excédent brut d'exploitation)</t>
        </is>
      </c>
      <c r="C8" s="35">
        <f>SUMIF('Calcul'!$B$2:$B$85,1,'Calcul'!$R$2:$R$85)</f>
        <v/>
      </c>
      <c r="D8" s="35">
        <f>SUMIF('Calcul'!$B$2:$B$85,2,'Calcul'!$R$2:$R$85)</f>
        <v/>
      </c>
      <c r="E8" s="35">
        <f>SUMIF('Calcul'!$B$2:$B$85,3,'Calcul'!$R$2:$R$85)</f>
        <v/>
      </c>
      <c r="F8" s="35">
        <f>SUMIF('Calcul'!$B$2:$B$85,4,'Calcul'!$R$2:$R$85)</f>
        <v/>
      </c>
      <c r="G8" s="35">
        <f>SUMIF('Calcul'!$B$2:$B$85,5,'Calcul'!$R$2:$R$85)</f>
        <v/>
      </c>
      <c r="H8" s="35">
        <f>SUMIF('Calcul'!$B$2:$B$85,6,'Calcul'!$R$2:$R$85)</f>
        <v/>
      </c>
      <c r="I8" s="35">
        <f>SUMIF('Calcul'!$B$2:$B$85,7,'Calcul'!$R$2:$R$85)</f>
        <v/>
      </c>
      <c r="J8" s="36">
        <f>SUM(C8:I8)</f>
        <v/>
      </c>
    </row>
    <row r="9">
      <c r="B9" s="31" t="inlineStr">
        <is>
          <t xml:space="preserve">   EBIT (résultat d'exploitation)</t>
        </is>
      </c>
      <c r="C9" s="32">
        <f>SUMIF('Calcul'!$B$2:$B$85,1,'Calcul'!$R$2:$R$85)</f>
        <v/>
      </c>
      <c r="D9" s="32">
        <f>SUMIF('Calcul'!$B$2:$B$85,2,'Calcul'!$R$2:$R$85)</f>
        <v/>
      </c>
      <c r="E9" s="32">
        <f>SUMIF('Calcul'!$B$2:$B$85,3,'Calcul'!$R$2:$R$85)</f>
        <v/>
      </c>
      <c r="F9" s="32">
        <f>SUMIF('Calcul'!$B$2:$B$85,4,'Calcul'!$R$2:$R$85)</f>
        <v/>
      </c>
      <c r="G9" s="32">
        <f>SUMIF('Calcul'!$B$2:$B$85,5,'Calcul'!$R$2:$R$85)</f>
        <v/>
      </c>
      <c r="H9" s="32">
        <f>SUMIF('Calcul'!$B$2:$B$85,6,'Calcul'!$R$2:$R$85)</f>
        <v/>
      </c>
      <c r="I9" s="32">
        <f>SUMIF('Calcul'!$B$2:$B$85,7,'Calcul'!$R$2:$R$85)</f>
        <v/>
      </c>
      <c r="J9" s="20">
        <f>SUM(C9:I9)</f>
        <v/>
      </c>
    </row>
    <row r="10">
      <c r="B10" s="31" t="inlineStr">
        <is>
          <t xml:space="preserve">   Capacité d'autofinancement (CAF)</t>
        </is>
      </c>
      <c r="C10" s="32">
        <f>(SUMIF('Calcul'!$B$2:$B$85,1,'Calcul'!$R$2:$R$85)-MAX(0,SUMIF('Calcul'!$B$2:$B$85,1,'Calcul'!$R$2:$R$85))*'Hypothèses'!$C$54)</f>
        <v/>
      </c>
      <c r="D10" s="32">
        <f>(SUMIF('Calcul'!$B$2:$B$85,2,'Calcul'!$R$2:$R$85)-MAX(0,SUMIF('Calcul'!$B$2:$B$85,2,'Calcul'!$R$2:$R$85))*'Hypothèses'!$C$54)</f>
        <v/>
      </c>
      <c r="E10" s="32">
        <f>(SUMIF('Calcul'!$B$2:$B$85,3,'Calcul'!$R$2:$R$85)-MAX(0,SUMIF('Calcul'!$B$2:$B$85,3,'Calcul'!$R$2:$R$85))*'Hypothèses'!$C$54)</f>
        <v/>
      </c>
      <c r="F10" s="32">
        <f>(SUMIF('Calcul'!$B$2:$B$85,4,'Calcul'!$R$2:$R$85)-MAX(0,SUMIF('Calcul'!$B$2:$B$85,4,'Calcul'!$R$2:$R$85))*'Hypothèses'!$C$54)</f>
        <v/>
      </c>
      <c r="G10" s="32">
        <f>(SUMIF('Calcul'!$B$2:$B$85,5,'Calcul'!$R$2:$R$85)-MAX(0,SUMIF('Calcul'!$B$2:$B$85,5,'Calcul'!$R$2:$R$85))*'Hypothèses'!$C$54)</f>
        <v/>
      </c>
      <c r="H10" s="32">
        <f>(SUMIF('Calcul'!$B$2:$B$85,6,'Calcul'!$R$2:$R$85)-MAX(0,SUMIF('Calcul'!$B$2:$B$85,6,'Calcul'!$R$2:$R$85))*'Hypothèses'!$C$54)</f>
        <v/>
      </c>
      <c r="I10" s="32">
        <f>(SUMIF('Calcul'!$B$2:$B$85,7,'Calcul'!$R$2:$R$85)-MAX(0,SUMIF('Calcul'!$B$2:$B$85,7,'Calcul'!$R$2:$R$85))*'Hypothèses'!$C$54)</f>
        <v/>
      </c>
      <c r="J10" s="20">
        <f>SUM(C10:I10)</f>
        <v/>
      </c>
    </row>
    <row r="11">
      <c r="B11" s="37" t="inlineStr">
        <is>
          <t>Résultat net</t>
        </is>
      </c>
      <c r="C11" s="38">
        <f>(SUMIF('Calcul'!$B$2:$B$85,1,'Calcul'!$R$2:$R$85)-MAX(0,SUMIF('Calcul'!$B$2:$B$85,1,'Calcul'!$R$2:$R$85))*'Hypothèses'!$C$54)</f>
        <v/>
      </c>
      <c r="D11" s="38">
        <f>(SUMIF('Calcul'!$B$2:$B$85,2,'Calcul'!$R$2:$R$85)-MAX(0,SUMIF('Calcul'!$B$2:$B$85,2,'Calcul'!$R$2:$R$85))*'Hypothèses'!$C$54)</f>
        <v/>
      </c>
      <c r="E11" s="38">
        <f>(SUMIF('Calcul'!$B$2:$B$85,3,'Calcul'!$R$2:$R$85)-MAX(0,SUMIF('Calcul'!$B$2:$B$85,3,'Calcul'!$R$2:$R$85))*'Hypothèses'!$C$54)</f>
        <v/>
      </c>
      <c r="F11" s="38">
        <f>(SUMIF('Calcul'!$B$2:$B$85,4,'Calcul'!$R$2:$R$85)-MAX(0,SUMIF('Calcul'!$B$2:$B$85,4,'Calcul'!$R$2:$R$85))*'Hypothèses'!$C$54)</f>
        <v/>
      </c>
      <c r="G11" s="38">
        <f>(SUMIF('Calcul'!$B$2:$B$85,5,'Calcul'!$R$2:$R$85)-MAX(0,SUMIF('Calcul'!$B$2:$B$85,5,'Calcul'!$R$2:$R$85))*'Hypothèses'!$C$54)</f>
        <v/>
      </c>
      <c r="H11" s="38">
        <f>(SUMIF('Calcul'!$B$2:$B$85,6,'Calcul'!$R$2:$R$85)-MAX(0,SUMIF('Calcul'!$B$2:$B$85,6,'Calcul'!$R$2:$R$85))*'Hypothèses'!$C$54)</f>
        <v/>
      </c>
      <c r="I11" s="38">
        <f>(SUMIF('Calcul'!$B$2:$B$85,7,'Calcul'!$R$2:$R$85)-MAX(0,SUMIF('Calcul'!$B$2:$B$85,7,'Calcul'!$R$2:$R$85))*'Hypothèses'!$C$54)</f>
        <v/>
      </c>
      <c r="J11" s="39">
        <f>SUM(C11:I11)</f>
        <v/>
      </c>
    </row>
    <row r="12">
      <c r="B12" s="14" t="inlineStr">
        <is>
          <t xml:space="preserve">  MARGES</t>
        </is>
      </c>
    </row>
    <row r="13">
      <c r="B13" s="10" t="inlineStr">
        <is>
          <t>Marge d'EBITDA (% du CA)</t>
        </is>
      </c>
      <c r="C13" s="46">
        <f>SUMIF('Calcul'!$B$2:$B$85,1,'Calcul'!$R$2:$R$85)/SUMIF('Calcul'!$B$2:$B$85,1,'Calcul'!$H$2:$H$85)</f>
        <v/>
      </c>
      <c r="D13" s="46">
        <f>SUMIF('Calcul'!$B$2:$B$85,2,'Calcul'!$R$2:$R$85)/SUMIF('Calcul'!$B$2:$B$85,2,'Calcul'!$H$2:$H$85)</f>
        <v/>
      </c>
      <c r="E13" s="46">
        <f>SUMIF('Calcul'!$B$2:$B$85,3,'Calcul'!$R$2:$R$85)/SUMIF('Calcul'!$B$2:$B$85,3,'Calcul'!$H$2:$H$85)</f>
        <v/>
      </c>
      <c r="F13" s="46">
        <f>SUMIF('Calcul'!$B$2:$B$85,4,'Calcul'!$R$2:$R$85)/SUMIF('Calcul'!$B$2:$B$85,4,'Calcul'!$H$2:$H$85)</f>
        <v/>
      </c>
      <c r="G13" s="46">
        <f>SUMIF('Calcul'!$B$2:$B$85,5,'Calcul'!$R$2:$R$85)/SUMIF('Calcul'!$B$2:$B$85,5,'Calcul'!$H$2:$H$85)</f>
        <v/>
      </c>
      <c r="H13" s="46">
        <f>SUMIF('Calcul'!$B$2:$B$85,6,'Calcul'!$R$2:$R$85)/SUMIF('Calcul'!$B$2:$B$85,6,'Calcul'!$H$2:$H$85)</f>
        <v/>
      </c>
      <c r="I13" s="46">
        <f>SUMIF('Calcul'!$B$2:$B$85,7,'Calcul'!$R$2:$R$85)/SUMIF('Calcul'!$B$2:$B$85,7,'Calcul'!$H$2:$H$85)</f>
        <v/>
      </c>
    </row>
    <row r="14">
      <c r="B14" s="10" t="inlineStr">
        <is>
          <t>Marge nette (% du CA)</t>
        </is>
      </c>
      <c r="C14" s="46">
        <f>(SUMIF('Calcul'!$B$2:$B$85,1,'Calcul'!$R$2:$R$85)-MAX(0,SUMIF('Calcul'!$B$2:$B$85,1,'Calcul'!$R$2:$R$85))*'Hypothèses'!$C$54)/SUMIF('Calcul'!$B$2:$B$85,1,'Calcul'!$H$2:$H$85)</f>
        <v/>
      </c>
      <c r="D14" s="46">
        <f>(SUMIF('Calcul'!$B$2:$B$85,2,'Calcul'!$R$2:$R$85)-MAX(0,SUMIF('Calcul'!$B$2:$B$85,2,'Calcul'!$R$2:$R$85))*'Hypothèses'!$C$54)/SUMIF('Calcul'!$B$2:$B$85,2,'Calcul'!$H$2:$H$85)</f>
        <v/>
      </c>
      <c r="E14" s="46">
        <f>(SUMIF('Calcul'!$B$2:$B$85,3,'Calcul'!$R$2:$R$85)-MAX(0,SUMIF('Calcul'!$B$2:$B$85,3,'Calcul'!$R$2:$R$85))*'Hypothèses'!$C$54)/SUMIF('Calcul'!$B$2:$B$85,3,'Calcul'!$H$2:$H$85)</f>
        <v/>
      </c>
      <c r="F14" s="46">
        <f>(SUMIF('Calcul'!$B$2:$B$85,4,'Calcul'!$R$2:$R$85)-MAX(0,SUMIF('Calcul'!$B$2:$B$85,4,'Calcul'!$R$2:$R$85))*'Hypothèses'!$C$54)/SUMIF('Calcul'!$B$2:$B$85,4,'Calcul'!$H$2:$H$85)</f>
        <v/>
      </c>
      <c r="G14" s="46">
        <f>(SUMIF('Calcul'!$B$2:$B$85,5,'Calcul'!$R$2:$R$85)-MAX(0,SUMIF('Calcul'!$B$2:$B$85,5,'Calcul'!$R$2:$R$85))*'Hypothèses'!$C$54)/SUMIF('Calcul'!$B$2:$B$85,5,'Calcul'!$H$2:$H$85)</f>
        <v/>
      </c>
      <c r="H14" s="46">
        <f>(SUMIF('Calcul'!$B$2:$B$85,6,'Calcul'!$R$2:$R$85)-MAX(0,SUMIF('Calcul'!$B$2:$B$85,6,'Calcul'!$R$2:$R$85))*'Hypothèses'!$C$54)/SUMIF('Calcul'!$B$2:$B$85,6,'Calcul'!$H$2:$H$85)</f>
        <v/>
      </c>
      <c r="I14" s="46">
        <f>(SUMIF('Calcul'!$B$2:$B$85,7,'Calcul'!$R$2:$R$85)-MAX(0,SUMIF('Calcul'!$B$2:$B$85,7,'Calcul'!$R$2:$R$85))*'Hypothèses'!$C$54)/SUMIF('Calcul'!$B$2:$B$85,7,'Calcul'!$H$2:$H$85)</f>
        <v/>
      </c>
    </row>
    <row r="15">
      <c r="B15" s="44" t="inlineStr">
        <is>
          <t xml:space="preserve">  COUVERTURE DU SERVICE LEASING (clé bailleur)</t>
        </is>
      </c>
    </row>
    <row r="16">
      <c r="B16" s="24" t="inlineStr">
        <is>
          <t>Engagements leasing (loyers machines + véhicule)</t>
        </is>
      </c>
      <c r="C16" s="30">
        <f>SUMIF('Calcul'!$B$2:$B$85,1,'Calcul'!$J$2:$J$85)+SUMIF('Calcul'!$B$2:$B$85,1,'Calcul'!$Q$2:$Q$85)</f>
        <v/>
      </c>
      <c r="D16" s="30">
        <f>SUMIF('Calcul'!$B$2:$B$85,2,'Calcul'!$J$2:$J$85)+SUMIF('Calcul'!$B$2:$B$85,2,'Calcul'!$Q$2:$Q$85)</f>
        <v/>
      </c>
      <c r="E16" s="30">
        <f>SUMIF('Calcul'!$B$2:$B$85,3,'Calcul'!$J$2:$J$85)+SUMIF('Calcul'!$B$2:$B$85,3,'Calcul'!$Q$2:$Q$85)</f>
        <v/>
      </c>
      <c r="F16" s="30">
        <f>SUMIF('Calcul'!$B$2:$B$85,4,'Calcul'!$J$2:$J$85)+SUMIF('Calcul'!$B$2:$B$85,4,'Calcul'!$Q$2:$Q$85)</f>
        <v/>
      </c>
      <c r="G16" s="30">
        <f>SUMIF('Calcul'!$B$2:$B$85,5,'Calcul'!$J$2:$J$85)+SUMIF('Calcul'!$B$2:$B$85,5,'Calcul'!$Q$2:$Q$85)</f>
        <v/>
      </c>
      <c r="H16" s="30">
        <f>SUMIF('Calcul'!$B$2:$B$85,6,'Calcul'!$J$2:$J$85)+SUMIF('Calcul'!$B$2:$B$85,6,'Calcul'!$Q$2:$Q$85)</f>
        <v/>
      </c>
      <c r="I16" s="30">
        <f>SUMIF('Calcul'!$B$2:$B$85,7,'Calcul'!$J$2:$J$85)+SUMIF('Calcul'!$B$2:$B$85,7,'Calcul'!$Q$2:$Q$85)</f>
        <v/>
      </c>
      <c r="J16" s="20">
        <f>SUM(C16:I16)</f>
        <v/>
      </c>
    </row>
    <row r="17">
      <c r="B17" s="37" t="inlineStr">
        <is>
          <t>DSCR (EBITDA avant loyers / loyers)</t>
        </is>
      </c>
      <c r="C17" s="47">
        <f>(SUMIF('Calcul'!$B$2:$B$85,1,'Calcul'!$R$2:$R$85)+SUMIF('Calcul'!$B$2:$B$85,1,'Calcul'!$J$2:$J$85)+SUMIF('Calcul'!$B$2:$B$85,1,'Calcul'!$Q$2:$Q$85))/(SUMIF('Calcul'!$B$2:$B$85,1,'Calcul'!$J$2:$J$85)+SUMIF('Calcul'!$B$2:$B$85,1,'Calcul'!$Q$2:$Q$85))</f>
        <v/>
      </c>
      <c r="D17" s="47">
        <f>(SUMIF('Calcul'!$B$2:$B$85,2,'Calcul'!$R$2:$R$85)+SUMIF('Calcul'!$B$2:$B$85,2,'Calcul'!$J$2:$J$85)+SUMIF('Calcul'!$B$2:$B$85,2,'Calcul'!$Q$2:$Q$85))/(SUMIF('Calcul'!$B$2:$B$85,2,'Calcul'!$J$2:$J$85)+SUMIF('Calcul'!$B$2:$B$85,2,'Calcul'!$Q$2:$Q$85))</f>
        <v/>
      </c>
      <c r="E17" s="47">
        <f>(SUMIF('Calcul'!$B$2:$B$85,3,'Calcul'!$R$2:$R$85)+SUMIF('Calcul'!$B$2:$B$85,3,'Calcul'!$J$2:$J$85)+SUMIF('Calcul'!$B$2:$B$85,3,'Calcul'!$Q$2:$Q$85))/(SUMIF('Calcul'!$B$2:$B$85,3,'Calcul'!$J$2:$J$85)+SUMIF('Calcul'!$B$2:$B$85,3,'Calcul'!$Q$2:$Q$85))</f>
        <v/>
      </c>
      <c r="F17" s="47">
        <f>(SUMIF('Calcul'!$B$2:$B$85,4,'Calcul'!$R$2:$R$85)+SUMIF('Calcul'!$B$2:$B$85,4,'Calcul'!$J$2:$J$85)+SUMIF('Calcul'!$B$2:$B$85,4,'Calcul'!$Q$2:$Q$85))/(SUMIF('Calcul'!$B$2:$B$85,4,'Calcul'!$J$2:$J$85)+SUMIF('Calcul'!$B$2:$B$85,4,'Calcul'!$Q$2:$Q$85))</f>
        <v/>
      </c>
      <c r="G17" s="47">
        <f>(SUMIF('Calcul'!$B$2:$B$85,5,'Calcul'!$R$2:$R$85)+SUMIF('Calcul'!$B$2:$B$85,5,'Calcul'!$J$2:$J$85)+SUMIF('Calcul'!$B$2:$B$85,5,'Calcul'!$Q$2:$Q$85))/(SUMIF('Calcul'!$B$2:$B$85,5,'Calcul'!$J$2:$J$85)+SUMIF('Calcul'!$B$2:$B$85,5,'Calcul'!$Q$2:$Q$85))</f>
        <v/>
      </c>
      <c r="H17" s="47">
        <f>(SUMIF('Calcul'!$B$2:$B$85,6,'Calcul'!$R$2:$R$85)+SUMIF('Calcul'!$B$2:$B$85,6,'Calcul'!$J$2:$J$85)+SUMIF('Calcul'!$B$2:$B$85,6,'Calcul'!$Q$2:$Q$85))/(SUMIF('Calcul'!$B$2:$B$85,6,'Calcul'!$J$2:$J$85)+SUMIF('Calcul'!$B$2:$B$85,6,'Calcul'!$Q$2:$Q$85))</f>
        <v/>
      </c>
      <c r="I17" s="47">
        <f>(SUMIF('Calcul'!$B$2:$B$85,7,'Calcul'!$R$2:$R$85)+SUMIF('Calcul'!$B$2:$B$85,7,'Calcul'!$J$2:$J$85)+SUMIF('Calcul'!$B$2:$B$85,7,'Calcul'!$Q$2:$Q$85))/(SUMIF('Calcul'!$B$2:$B$85,7,'Calcul'!$J$2:$J$85)+SUMIF('Calcul'!$B$2:$B$85,7,'Calcul'!$Q$2:$Q$85))</f>
        <v/>
      </c>
      <c r="J17" s="48">
        <f>MIN(C17:I17)</f>
        <v/>
      </c>
    </row>
    <row r="18">
      <c r="B18" s="31" t="inlineStr">
        <is>
          <t xml:space="preserve">   EBITDA / loyers de leasing</t>
        </is>
      </c>
      <c r="C18" s="49">
        <f>SUMIF('Calcul'!$B$2:$B$85,1,'Calcul'!$R$2:$R$85)/(SUMIF('Calcul'!$B$2:$B$85,1,'Calcul'!$J$2:$J$85)+SUMIF('Calcul'!$B$2:$B$85,1,'Calcul'!$Q$2:$Q$85))</f>
        <v/>
      </c>
      <c r="D18" s="49">
        <f>SUMIF('Calcul'!$B$2:$B$85,2,'Calcul'!$R$2:$R$85)/(SUMIF('Calcul'!$B$2:$B$85,2,'Calcul'!$J$2:$J$85)+SUMIF('Calcul'!$B$2:$B$85,2,'Calcul'!$Q$2:$Q$85))</f>
        <v/>
      </c>
      <c r="E18" s="49">
        <f>SUMIF('Calcul'!$B$2:$B$85,3,'Calcul'!$R$2:$R$85)/(SUMIF('Calcul'!$B$2:$B$85,3,'Calcul'!$J$2:$J$85)+SUMIF('Calcul'!$B$2:$B$85,3,'Calcul'!$Q$2:$Q$85))</f>
        <v/>
      </c>
      <c r="F18" s="49">
        <f>SUMIF('Calcul'!$B$2:$B$85,4,'Calcul'!$R$2:$R$85)/(SUMIF('Calcul'!$B$2:$B$85,4,'Calcul'!$J$2:$J$85)+SUMIF('Calcul'!$B$2:$B$85,4,'Calcul'!$Q$2:$Q$85))</f>
        <v/>
      </c>
      <c r="G18" s="49">
        <f>SUMIF('Calcul'!$B$2:$B$85,5,'Calcul'!$R$2:$R$85)/(SUMIF('Calcul'!$B$2:$B$85,5,'Calcul'!$J$2:$J$85)+SUMIF('Calcul'!$B$2:$B$85,5,'Calcul'!$Q$2:$Q$85))</f>
        <v/>
      </c>
      <c r="H18" s="49">
        <f>SUMIF('Calcul'!$B$2:$B$85,6,'Calcul'!$R$2:$R$85)/(SUMIF('Calcul'!$B$2:$B$85,6,'Calcul'!$J$2:$J$85)+SUMIF('Calcul'!$B$2:$B$85,6,'Calcul'!$Q$2:$Q$85))</f>
        <v/>
      </c>
      <c r="I18" s="49">
        <f>SUMIF('Calcul'!$B$2:$B$85,7,'Calcul'!$R$2:$R$85)/(SUMIF('Calcul'!$B$2:$B$85,7,'Calcul'!$J$2:$J$85)+SUMIF('Calcul'!$B$2:$B$85,7,'Calcul'!$Q$2:$Q$85))</f>
        <v/>
      </c>
    </row>
    <row r="19">
      <c r="B19" s="14" t="inlineStr">
        <is>
          <t xml:space="preserve">  STRUCTURE &amp; RENTABILITÉ</t>
        </is>
      </c>
    </row>
    <row r="20">
      <c r="B20" s="10" t="inlineStr">
        <is>
          <t>Capitaux propres</t>
        </is>
      </c>
      <c r="C20" s="33">
        <f>('Hypothèses'!$C$55+(1-'Hypothèses'!$C$56)*((SUMIF('Calcul'!$B$2:$B$85,1,'Calcul'!$R$2:$R$85)-MAX(0,SUMIF('Calcul'!$B$2:$B$85,1,'Calcul'!$R$2:$R$85))*'Hypothèses'!$C$54)))</f>
        <v/>
      </c>
      <c r="D20" s="33">
        <f>('Hypothèses'!$C$55+(1-'Hypothèses'!$C$56)*((SUMIF('Calcul'!$B$2:$B$85,1,'Calcul'!$R$2:$R$85)-MAX(0,SUMIF('Calcul'!$B$2:$B$85,1,'Calcul'!$R$2:$R$85))*'Hypothèses'!$C$54)+(SUMIF('Calcul'!$B$2:$B$85,2,'Calcul'!$R$2:$R$85)-MAX(0,SUMIF('Calcul'!$B$2:$B$85,2,'Calcul'!$R$2:$R$85))*'Hypothèses'!$C$54)))</f>
        <v/>
      </c>
      <c r="E20" s="33">
        <f>('Hypothèses'!$C$55+(1-'Hypothèses'!$C$56)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))</f>
        <v/>
      </c>
      <c r="F20" s="33">
        <f>('Hypothèses'!$C$55+(1-'Hypothèses'!$C$56)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))</f>
        <v/>
      </c>
      <c r="G20" s="33">
        <f>('Hypothèses'!$C$55+(1-'Hypothèses'!$C$56)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+(SUMIF('Calcul'!$B$2:$B$85,5,'Calcul'!$R$2:$R$85)-MAX(0,SUMIF('Calcul'!$B$2:$B$85,5,'Calcul'!$R$2:$R$85))*'Hypothèses'!$C$54)))</f>
        <v/>
      </c>
      <c r="H20" s="33">
        <f>('Hypothèses'!$C$55+(1-'Hypothèses'!$C$56)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+(SUMIF('Calcul'!$B$2:$B$85,5,'Calcul'!$R$2:$R$85)-MAX(0,SUMIF('Calcul'!$B$2:$B$85,5,'Calcul'!$R$2:$R$85))*'Hypothèses'!$C$54)+(SUMIF('Calcul'!$B$2:$B$85,6,'Calcul'!$R$2:$R$85)-MAX(0,SUMIF('Calcul'!$B$2:$B$85,6,'Calcul'!$R$2:$R$85))*'Hypothèses'!$C$54)))</f>
        <v/>
      </c>
      <c r="I20" s="33">
        <f>('Hypothèses'!$C$55+(1-'Hypothèses'!$C$56)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+(SUMIF('Calcul'!$B$2:$B$85,5,'Calcul'!$R$2:$R$85)-MAX(0,SUMIF('Calcul'!$B$2:$B$85,5,'Calcul'!$R$2:$R$85))*'Hypothèses'!$C$54)+(SUMIF('Calcul'!$B$2:$B$85,6,'Calcul'!$R$2:$R$85)-MAX(0,SUMIF('Calcul'!$B$2:$B$85,6,'Calcul'!$R$2:$R$85))*'Hypothèses'!$C$54)+(SUMIF('Calcul'!$B$2:$B$85,7,'Calcul'!$R$2:$R$85)-MAX(0,SUMIF('Calcul'!$B$2:$B$85,7,'Calcul'!$R$2:$R$85))*'Hypothèses'!$C$54)))</f>
        <v/>
      </c>
    </row>
    <row r="21">
      <c r="B21" s="31" t="inlineStr">
        <is>
          <t xml:space="preserve">   Dette financière bancaire</t>
        </is>
      </c>
      <c r="C21" s="32">
        <f>0</f>
        <v/>
      </c>
      <c r="D21" s="32">
        <f>0</f>
        <v/>
      </c>
      <c r="E21" s="32">
        <f>0</f>
        <v/>
      </c>
      <c r="F21" s="32">
        <f>0</f>
        <v/>
      </c>
      <c r="G21" s="32">
        <f>0</f>
        <v/>
      </c>
      <c r="H21" s="32">
        <f>0</f>
        <v/>
      </c>
      <c r="I21" s="32">
        <f>0</f>
        <v/>
      </c>
    </row>
    <row r="22">
      <c r="B22" s="31" t="inlineStr">
        <is>
          <t xml:space="preserve">   Gearing (dette / capitaux propres)</t>
        </is>
      </c>
      <c r="C22" s="45">
        <f>0</f>
        <v/>
      </c>
      <c r="D22" s="45">
        <f>0</f>
        <v/>
      </c>
      <c r="E22" s="45">
        <f>0</f>
        <v/>
      </c>
      <c r="F22" s="45">
        <f>0</f>
        <v/>
      </c>
      <c r="G22" s="45">
        <f>0</f>
        <v/>
      </c>
      <c r="H22" s="45">
        <f>0</f>
        <v/>
      </c>
      <c r="I22" s="45">
        <f>0</f>
        <v/>
      </c>
    </row>
    <row r="23">
      <c r="B23" s="10" t="inlineStr">
        <is>
          <t>Trésorerie nette de clôture</t>
        </is>
      </c>
      <c r="C23" s="33">
        <f>'Calcul'!$T$13</f>
        <v/>
      </c>
      <c r="D23" s="33">
        <f>'Calcul'!$T$25-'Hypothèses'!$C$56*((SUMIF('Calcul'!$B$2:$B$85,1,'Calcul'!$R$2:$R$85)-MAX(0,SUMIF('Calcul'!$B$2:$B$85,1,'Calcul'!$R$2:$R$85))*'Hypothèses'!$C$54))</f>
        <v/>
      </c>
      <c r="E23" s="33">
        <f>'Calcul'!$T$37-'Hypothèses'!$C$56*((SUMIF('Calcul'!$B$2:$B$85,1,'Calcul'!$R$2:$R$85)-MAX(0,SUMIF('Calcul'!$B$2:$B$85,1,'Calcul'!$R$2:$R$85))*'Hypothèses'!$C$54)+(SUMIF('Calcul'!$B$2:$B$85,2,'Calcul'!$R$2:$R$85)-MAX(0,SUMIF('Calcul'!$B$2:$B$85,2,'Calcul'!$R$2:$R$85))*'Hypothèses'!$C$54))</f>
        <v/>
      </c>
      <c r="F23" s="33">
        <f>'Calcul'!$T$49-'Hypothèses'!$C$56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)</f>
        <v/>
      </c>
      <c r="G23" s="33">
        <f>'Calcul'!$T$61-'Hypothèses'!$C$56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)</f>
        <v/>
      </c>
      <c r="H23" s="33">
        <f>'Calcul'!$T$73-'Hypothèses'!$C$56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+(SUMIF('Calcul'!$B$2:$B$85,5,'Calcul'!$R$2:$R$85)-MAX(0,SUMIF('Calcul'!$B$2:$B$85,5,'Calcul'!$R$2:$R$85))*'Hypothèses'!$C$54))</f>
        <v/>
      </c>
      <c r="I23" s="33">
        <f>'Calcul'!$T$85-'Hypothèses'!$C$56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+(SUMIF('Calcul'!$B$2:$B$85,5,'Calcul'!$R$2:$R$85)-MAX(0,SUMIF('Calcul'!$B$2:$B$85,5,'Calcul'!$R$2:$R$85))*'Hypothèses'!$C$54)+(SUMIF('Calcul'!$B$2:$B$85,6,'Calcul'!$R$2:$R$85)-MAX(0,SUMIF('Calcul'!$B$2:$B$85,6,'Calcul'!$R$2:$R$85))*'Hypothèses'!$C$54))</f>
        <v/>
      </c>
    </row>
    <row r="24">
      <c r="B24" s="24" t="inlineStr">
        <is>
          <t>ROE (résultat net / capitaux propres)</t>
        </is>
      </c>
      <c r="C24" s="50">
        <f>(SUMIF('Calcul'!$B$2:$B$85,1,'Calcul'!$R$2:$R$85)-MAX(0,SUMIF('Calcul'!$B$2:$B$85,1,'Calcul'!$R$2:$R$85))*'Hypothèses'!$C$54)/('Hypothèses'!$C$55+(1-'Hypothèses'!$C$56)*((SUMIF('Calcul'!$B$2:$B$85,1,'Calcul'!$R$2:$R$85)-MAX(0,SUMIF('Calcul'!$B$2:$B$85,1,'Calcul'!$R$2:$R$85))*'Hypothèses'!$C$54)))</f>
        <v/>
      </c>
      <c r="D24" s="50">
        <f>(SUMIF('Calcul'!$B$2:$B$85,2,'Calcul'!$R$2:$R$85)-MAX(0,SUMIF('Calcul'!$B$2:$B$85,2,'Calcul'!$R$2:$R$85))*'Hypothèses'!$C$54)/('Hypothèses'!$C$55+(1-'Hypothèses'!$C$56)*((SUMIF('Calcul'!$B$2:$B$85,1,'Calcul'!$R$2:$R$85)-MAX(0,SUMIF('Calcul'!$B$2:$B$85,1,'Calcul'!$R$2:$R$85))*'Hypothèses'!$C$54)+(SUMIF('Calcul'!$B$2:$B$85,2,'Calcul'!$R$2:$R$85)-MAX(0,SUMIF('Calcul'!$B$2:$B$85,2,'Calcul'!$R$2:$R$85))*'Hypothèses'!$C$54)))</f>
        <v/>
      </c>
      <c r="E24" s="50">
        <f>(SUMIF('Calcul'!$B$2:$B$85,3,'Calcul'!$R$2:$R$85)-MAX(0,SUMIF('Calcul'!$B$2:$B$85,3,'Calcul'!$R$2:$R$85))*'Hypothèses'!$C$54)/('Hypothèses'!$C$55+(1-'Hypothèses'!$C$56)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))</f>
        <v/>
      </c>
      <c r="F24" s="50">
        <f>(SUMIF('Calcul'!$B$2:$B$85,4,'Calcul'!$R$2:$R$85)-MAX(0,SUMIF('Calcul'!$B$2:$B$85,4,'Calcul'!$R$2:$R$85))*'Hypothèses'!$C$54)/('Hypothèses'!$C$55+(1-'Hypothèses'!$C$56)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))</f>
        <v/>
      </c>
      <c r="G24" s="50">
        <f>(SUMIF('Calcul'!$B$2:$B$85,5,'Calcul'!$R$2:$R$85)-MAX(0,SUMIF('Calcul'!$B$2:$B$85,5,'Calcul'!$R$2:$R$85))*'Hypothèses'!$C$54)/('Hypothèses'!$C$55+(1-'Hypothèses'!$C$56)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+(SUMIF('Calcul'!$B$2:$B$85,5,'Calcul'!$R$2:$R$85)-MAX(0,SUMIF('Calcul'!$B$2:$B$85,5,'Calcul'!$R$2:$R$85))*'Hypothèses'!$C$54)))</f>
        <v/>
      </c>
      <c r="H24" s="50">
        <f>(SUMIF('Calcul'!$B$2:$B$85,6,'Calcul'!$R$2:$R$85)-MAX(0,SUMIF('Calcul'!$B$2:$B$85,6,'Calcul'!$R$2:$R$85))*'Hypothèses'!$C$54)/('Hypothèses'!$C$55+(1-'Hypothèses'!$C$56)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+(SUMIF('Calcul'!$B$2:$B$85,5,'Calcul'!$R$2:$R$85)-MAX(0,SUMIF('Calcul'!$B$2:$B$85,5,'Calcul'!$R$2:$R$85))*'Hypothèses'!$C$54)+(SUMIF('Calcul'!$B$2:$B$85,6,'Calcul'!$R$2:$R$85)-MAX(0,SUMIF('Calcul'!$B$2:$B$85,6,'Calcul'!$R$2:$R$85))*'Hypothèses'!$C$54)))</f>
        <v/>
      </c>
      <c r="I24" s="50">
        <f>(SUMIF('Calcul'!$B$2:$B$85,7,'Calcul'!$R$2:$R$85)-MAX(0,SUMIF('Calcul'!$B$2:$B$85,7,'Calcul'!$R$2:$R$85))*'Hypothèses'!$C$54)/('Hypothèses'!$C$55+(1-'Hypothèses'!$C$56)*((SUMIF('Calcul'!$B$2:$B$85,1,'Calcul'!$R$2:$R$85)-MAX(0,SUMIF('Calcul'!$B$2:$B$85,1,'Calcul'!$R$2:$R$85))*'Hypothèses'!$C$54)+(SUMIF('Calcul'!$B$2:$B$85,2,'Calcul'!$R$2:$R$85)-MAX(0,SUMIF('Calcul'!$B$2:$B$85,2,'Calcul'!$R$2:$R$85))*'Hypothèses'!$C$54)+(SUMIF('Calcul'!$B$2:$B$85,3,'Calcul'!$R$2:$R$85)-MAX(0,SUMIF('Calcul'!$B$2:$B$85,3,'Calcul'!$R$2:$R$85))*'Hypothèses'!$C$54)+(SUMIF('Calcul'!$B$2:$B$85,4,'Calcul'!$R$2:$R$85)-MAX(0,SUMIF('Calcul'!$B$2:$B$85,4,'Calcul'!$R$2:$R$85))*'Hypothèses'!$C$54)+(SUMIF('Calcul'!$B$2:$B$85,5,'Calcul'!$R$2:$R$85)-MAX(0,SUMIF('Calcul'!$B$2:$B$85,5,'Calcul'!$R$2:$R$85))*'Hypothèses'!$C$54)+(SUMIF('Calcul'!$B$2:$B$85,6,'Calcul'!$R$2:$R$85)-MAX(0,SUMIF('Calcul'!$B$2:$B$85,6,'Calcul'!$R$2:$R$85))*'Hypothèses'!$C$54)+(SUMIF('Calcul'!$B$2:$B$85,7,'Calcul'!$R$2:$R$85)-MAX(0,SUMIF('Calcul'!$B$2:$B$85,7,'Calcul'!$R$2:$R$85))*'Hypothèses'!$C$54)))</f>
        <v/>
      </c>
    </row>
    <row r="25">
      <c r="B25" s="31" t="inlineStr">
        <is>
          <t xml:space="preserve">   Rentabilité du capital social</t>
        </is>
      </c>
      <c r="C25" s="45">
        <f>(SUMIF('Calcul'!$B$2:$B$85,1,'Calcul'!$R$2:$R$85)-MAX(0,SUMIF('Calcul'!$B$2:$B$85,1,'Calcul'!$R$2:$R$85))*'Hypothèses'!$C$54)/'Hypothèses'!$C$55</f>
        <v/>
      </c>
      <c r="D25" s="45">
        <f>(SUMIF('Calcul'!$B$2:$B$85,2,'Calcul'!$R$2:$R$85)-MAX(0,SUMIF('Calcul'!$B$2:$B$85,2,'Calcul'!$R$2:$R$85))*'Hypothèses'!$C$54)/'Hypothèses'!$C$55</f>
        <v/>
      </c>
      <c r="E25" s="45">
        <f>(SUMIF('Calcul'!$B$2:$B$85,3,'Calcul'!$R$2:$R$85)-MAX(0,SUMIF('Calcul'!$B$2:$B$85,3,'Calcul'!$R$2:$R$85))*'Hypothèses'!$C$54)/'Hypothèses'!$C$55</f>
        <v/>
      </c>
      <c r="F25" s="45">
        <f>(SUMIF('Calcul'!$B$2:$B$85,4,'Calcul'!$R$2:$R$85)-MAX(0,SUMIF('Calcul'!$B$2:$B$85,4,'Calcul'!$R$2:$R$85))*'Hypothèses'!$C$54)/'Hypothèses'!$C$55</f>
        <v/>
      </c>
      <c r="G25" s="45">
        <f>(SUMIF('Calcul'!$B$2:$B$85,5,'Calcul'!$R$2:$R$85)-MAX(0,SUMIF('Calcul'!$B$2:$B$85,5,'Calcul'!$R$2:$R$85))*'Hypothèses'!$C$54)/'Hypothèses'!$C$55</f>
        <v/>
      </c>
      <c r="H25" s="45">
        <f>(SUMIF('Calcul'!$B$2:$B$85,6,'Calcul'!$R$2:$R$85)-MAX(0,SUMIF('Calcul'!$B$2:$B$85,6,'Calcul'!$R$2:$R$85))*'Hypothèses'!$C$54)/'Hypothèses'!$C$55</f>
        <v/>
      </c>
      <c r="I25" s="45">
        <f>(SUMIF('Calcul'!$B$2:$B$85,7,'Calcul'!$R$2:$R$85)-MAX(0,SUMIF('Calcul'!$B$2:$B$85,7,'Calcul'!$R$2:$R$85))*'Hypothèses'!$C$54)/'Hypothèses'!$C$55</f>
        <v/>
      </c>
    </row>
  </sheetData>
  <mergeCells count="6">
    <mergeCell ref="B15:J15"/>
    <mergeCell ref="B5:J5"/>
    <mergeCell ref="B19:J19"/>
    <mergeCell ref="B1:J1"/>
    <mergeCell ref="B12:J12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2" customHeight="1">
      <c r="B1" s="12" t="inlineStr">
        <is>
          <t>Capacité de remboursement du leasing</t>
        </is>
      </c>
    </row>
    <row r="2">
      <c r="B2" s="13" t="inlineStr">
        <is>
          <t>L'indicateur clé pour le bailleur : les loyers sont couverts plusieurs fois par les flux d'exploitation.</t>
        </is>
      </c>
    </row>
    <row r="4" ht="18" customHeight="1">
      <c r="B4" s="44" t="inlineStr">
        <is>
          <t xml:space="preserve">  AU NIVEAU D'UNE MACHINE (An 1)</t>
        </is>
      </c>
    </row>
    <row r="5">
      <c r="B5" s="10" t="inlineStr">
        <is>
          <t>Revenu HCTECH / machine / an (part 60 %)</t>
        </is>
      </c>
      <c r="C5" s="22">
        <f>'Hypothèses'!$C$19*365*'Hypothèses'!$C$20*'Hypothèses'!$C$22</f>
        <v/>
      </c>
    </row>
    <row r="6">
      <c r="B6" s="10" t="inlineStr">
        <is>
          <t>Loyer de leasing / machine / an</t>
        </is>
      </c>
      <c r="C6" s="22">
        <f>'Hypothèses'!$C$13</f>
        <v/>
      </c>
    </row>
    <row r="7">
      <c r="B7" s="24" t="inlineStr">
        <is>
          <t>Couverture du loyer par le revenu</t>
        </is>
      </c>
      <c r="C7" s="47">
        <f>C5/C6</f>
        <v/>
      </c>
      <c r="D7" s="17" t="inlineStr">
        <is>
          <t>→ chaque machine couvre largement son propre loyer</t>
        </is>
      </c>
    </row>
    <row r="9" ht="18" customHeight="1">
      <c r="B9" s="44" t="inlineStr">
        <is>
          <t xml:space="preserve">  AU NIVEAU DE LA SOCIÉTÉ (par année)</t>
        </is>
      </c>
    </row>
    <row r="10">
      <c r="C10" s="27" t="inlineStr">
        <is>
          <t>An 1</t>
        </is>
      </c>
      <c r="D10" s="27" t="inlineStr">
        <is>
          <t>An 2</t>
        </is>
      </c>
      <c r="E10" s="27" t="inlineStr">
        <is>
          <t>An 3</t>
        </is>
      </c>
      <c r="F10" s="27" t="inlineStr">
        <is>
          <t>An 4</t>
        </is>
      </c>
      <c r="G10" s="27" t="inlineStr">
        <is>
          <t>An 5</t>
        </is>
      </c>
      <c r="H10" s="27" t="inlineStr">
        <is>
          <t>An 6</t>
        </is>
      </c>
      <c r="I10" s="27" t="inlineStr">
        <is>
          <t>An 7</t>
        </is>
      </c>
      <c r="J10" s="28" t="inlineStr">
        <is>
          <t>Total 7 ans</t>
        </is>
      </c>
    </row>
    <row r="11">
      <c r="B11" s="10" t="inlineStr">
        <is>
          <t>Loyers leasing machines</t>
        </is>
      </c>
      <c r="C11" s="33">
        <f>SUMIF('Calcul'!$B$2:$B$85,1,'Calcul'!$J$2:$J$85)</f>
        <v/>
      </c>
      <c r="D11" s="33">
        <f>SUMIF('Calcul'!$B$2:$B$85,2,'Calcul'!$J$2:$J$85)</f>
        <v/>
      </c>
      <c r="E11" s="33">
        <f>SUMIF('Calcul'!$B$2:$B$85,3,'Calcul'!$J$2:$J$85)</f>
        <v/>
      </c>
      <c r="F11" s="33">
        <f>SUMIF('Calcul'!$B$2:$B$85,4,'Calcul'!$J$2:$J$85)</f>
        <v/>
      </c>
      <c r="G11" s="33">
        <f>SUMIF('Calcul'!$B$2:$B$85,5,'Calcul'!$J$2:$J$85)</f>
        <v/>
      </c>
      <c r="H11" s="33">
        <f>SUMIF('Calcul'!$B$2:$B$85,6,'Calcul'!$J$2:$J$85)</f>
        <v/>
      </c>
      <c r="I11" s="33">
        <f>SUMIF('Calcul'!$B$2:$B$85,7,'Calcul'!$J$2:$J$85)</f>
        <v/>
      </c>
      <c r="J11" s="20">
        <f>SUM(C11:I11)</f>
        <v/>
      </c>
    </row>
    <row r="12">
      <c r="B12" s="10" t="inlineStr">
        <is>
          <t>Loyer leasing véhicule</t>
        </is>
      </c>
      <c r="C12" s="33">
        <f>SUMIF('Calcul'!$B$2:$B$85,1,'Calcul'!$Q$2:$Q$85)</f>
        <v/>
      </c>
      <c r="D12" s="33">
        <f>SUMIF('Calcul'!$B$2:$B$85,2,'Calcul'!$Q$2:$Q$85)</f>
        <v/>
      </c>
      <c r="E12" s="33">
        <f>SUMIF('Calcul'!$B$2:$B$85,3,'Calcul'!$Q$2:$Q$85)</f>
        <v/>
      </c>
      <c r="F12" s="33">
        <f>SUMIF('Calcul'!$B$2:$B$85,4,'Calcul'!$Q$2:$Q$85)</f>
        <v/>
      </c>
      <c r="G12" s="33">
        <f>SUMIF('Calcul'!$B$2:$B$85,5,'Calcul'!$Q$2:$Q$85)</f>
        <v/>
      </c>
      <c r="H12" s="33">
        <f>SUMIF('Calcul'!$B$2:$B$85,6,'Calcul'!$Q$2:$Q$85)</f>
        <v/>
      </c>
      <c r="I12" s="33">
        <f>SUMIF('Calcul'!$B$2:$B$85,7,'Calcul'!$Q$2:$Q$85)</f>
        <v/>
      </c>
      <c r="J12" s="20">
        <f>SUM(C12:I12)</f>
        <v/>
      </c>
    </row>
    <row r="13">
      <c r="B13" s="34" t="inlineStr">
        <is>
          <t>Total engagements leasing</t>
        </is>
      </c>
      <c r="C13" s="35">
        <f>SUMIF('Calcul'!$B$2:$B$85,1,'Calcul'!$J$2:$J$85)+SUMIF('Calcul'!$B$2:$B$85,1,'Calcul'!$Q$2:$Q$85)</f>
        <v/>
      </c>
      <c r="D13" s="35">
        <f>SUMIF('Calcul'!$B$2:$B$85,2,'Calcul'!$J$2:$J$85)+SUMIF('Calcul'!$B$2:$B$85,2,'Calcul'!$Q$2:$Q$85)</f>
        <v/>
      </c>
      <c r="E13" s="35">
        <f>SUMIF('Calcul'!$B$2:$B$85,3,'Calcul'!$J$2:$J$85)+SUMIF('Calcul'!$B$2:$B$85,3,'Calcul'!$Q$2:$Q$85)</f>
        <v/>
      </c>
      <c r="F13" s="35">
        <f>SUMIF('Calcul'!$B$2:$B$85,4,'Calcul'!$J$2:$J$85)+SUMIF('Calcul'!$B$2:$B$85,4,'Calcul'!$Q$2:$Q$85)</f>
        <v/>
      </c>
      <c r="G13" s="35">
        <f>SUMIF('Calcul'!$B$2:$B$85,5,'Calcul'!$J$2:$J$85)+SUMIF('Calcul'!$B$2:$B$85,5,'Calcul'!$Q$2:$Q$85)</f>
        <v/>
      </c>
      <c r="H13" s="35">
        <f>SUMIF('Calcul'!$B$2:$B$85,6,'Calcul'!$J$2:$J$85)+SUMIF('Calcul'!$B$2:$B$85,6,'Calcul'!$Q$2:$Q$85)</f>
        <v/>
      </c>
      <c r="I13" s="35">
        <f>SUMIF('Calcul'!$B$2:$B$85,7,'Calcul'!$J$2:$J$85)+SUMIF('Calcul'!$B$2:$B$85,7,'Calcul'!$Q$2:$Q$85)</f>
        <v/>
      </c>
      <c r="J13" s="36">
        <f>SUM(C13:I13)</f>
        <v/>
      </c>
    </row>
    <row r="14">
      <c r="B14" s="24" t="inlineStr">
        <is>
          <t>EBITDA avant loyers de leasing</t>
        </is>
      </c>
      <c r="C14" s="30">
        <f>SUMIF('Calcul'!$B$2:$B$85,1,'Calcul'!$R$2:$R$85)+SUMIF('Calcul'!$B$2:$B$85,1,'Calcul'!$J$2:$J$85)+SUMIF('Calcul'!$B$2:$B$85,1,'Calcul'!$Q$2:$Q$85)</f>
        <v/>
      </c>
      <c r="D14" s="30">
        <f>SUMIF('Calcul'!$B$2:$B$85,2,'Calcul'!$R$2:$R$85)+SUMIF('Calcul'!$B$2:$B$85,2,'Calcul'!$J$2:$J$85)+SUMIF('Calcul'!$B$2:$B$85,2,'Calcul'!$Q$2:$Q$85)</f>
        <v/>
      </c>
      <c r="E14" s="30">
        <f>SUMIF('Calcul'!$B$2:$B$85,3,'Calcul'!$R$2:$R$85)+SUMIF('Calcul'!$B$2:$B$85,3,'Calcul'!$J$2:$J$85)+SUMIF('Calcul'!$B$2:$B$85,3,'Calcul'!$Q$2:$Q$85)</f>
        <v/>
      </c>
      <c r="F14" s="30">
        <f>SUMIF('Calcul'!$B$2:$B$85,4,'Calcul'!$R$2:$R$85)+SUMIF('Calcul'!$B$2:$B$85,4,'Calcul'!$J$2:$J$85)+SUMIF('Calcul'!$B$2:$B$85,4,'Calcul'!$Q$2:$Q$85)</f>
        <v/>
      </c>
      <c r="G14" s="30">
        <f>SUMIF('Calcul'!$B$2:$B$85,5,'Calcul'!$R$2:$R$85)+SUMIF('Calcul'!$B$2:$B$85,5,'Calcul'!$J$2:$J$85)+SUMIF('Calcul'!$B$2:$B$85,5,'Calcul'!$Q$2:$Q$85)</f>
        <v/>
      </c>
      <c r="H14" s="30">
        <f>SUMIF('Calcul'!$B$2:$B$85,6,'Calcul'!$R$2:$R$85)+SUMIF('Calcul'!$B$2:$B$85,6,'Calcul'!$J$2:$J$85)+SUMIF('Calcul'!$B$2:$B$85,6,'Calcul'!$Q$2:$Q$85)</f>
        <v/>
      </c>
      <c r="I14" s="30">
        <f>SUMIF('Calcul'!$B$2:$B$85,7,'Calcul'!$R$2:$R$85)+SUMIF('Calcul'!$B$2:$B$85,7,'Calcul'!$J$2:$J$85)+SUMIF('Calcul'!$B$2:$B$85,7,'Calcul'!$Q$2:$Q$85)</f>
        <v/>
      </c>
      <c r="J14" s="20">
        <f>SUM(C14:I14)</f>
        <v/>
      </c>
    </row>
    <row r="15">
      <c r="B15" s="37" t="inlineStr">
        <is>
          <t>Couverture du service leasing (DSCR)</t>
        </is>
      </c>
      <c r="C15" s="47">
        <f>(SUMIF('Calcul'!$B$2:$B$85,1,'Calcul'!$R$2:$R$85)+SUMIF('Calcul'!$B$2:$B$85,1,'Calcul'!$J$2:$J$85)+SUMIF('Calcul'!$B$2:$B$85,1,'Calcul'!$Q$2:$Q$85))/(SUMIF('Calcul'!$B$2:$B$85,1,'Calcul'!$J$2:$J$85)+SUMIF('Calcul'!$B$2:$B$85,1,'Calcul'!$Q$2:$Q$85))</f>
        <v/>
      </c>
      <c r="D15" s="47">
        <f>(SUMIF('Calcul'!$B$2:$B$85,2,'Calcul'!$R$2:$R$85)+SUMIF('Calcul'!$B$2:$B$85,2,'Calcul'!$J$2:$J$85)+SUMIF('Calcul'!$B$2:$B$85,2,'Calcul'!$Q$2:$Q$85))/(SUMIF('Calcul'!$B$2:$B$85,2,'Calcul'!$J$2:$J$85)+SUMIF('Calcul'!$B$2:$B$85,2,'Calcul'!$Q$2:$Q$85))</f>
        <v/>
      </c>
      <c r="E15" s="47">
        <f>(SUMIF('Calcul'!$B$2:$B$85,3,'Calcul'!$R$2:$R$85)+SUMIF('Calcul'!$B$2:$B$85,3,'Calcul'!$J$2:$J$85)+SUMIF('Calcul'!$B$2:$B$85,3,'Calcul'!$Q$2:$Q$85))/(SUMIF('Calcul'!$B$2:$B$85,3,'Calcul'!$J$2:$J$85)+SUMIF('Calcul'!$B$2:$B$85,3,'Calcul'!$Q$2:$Q$85))</f>
        <v/>
      </c>
      <c r="F15" s="47">
        <f>(SUMIF('Calcul'!$B$2:$B$85,4,'Calcul'!$R$2:$R$85)+SUMIF('Calcul'!$B$2:$B$85,4,'Calcul'!$J$2:$J$85)+SUMIF('Calcul'!$B$2:$B$85,4,'Calcul'!$Q$2:$Q$85))/(SUMIF('Calcul'!$B$2:$B$85,4,'Calcul'!$J$2:$J$85)+SUMIF('Calcul'!$B$2:$B$85,4,'Calcul'!$Q$2:$Q$85))</f>
        <v/>
      </c>
      <c r="G15" s="47">
        <f>(SUMIF('Calcul'!$B$2:$B$85,5,'Calcul'!$R$2:$R$85)+SUMIF('Calcul'!$B$2:$B$85,5,'Calcul'!$J$2:$J$85)+SUMIF('Calcul'!$B$2:$B$85,5,'Calcul'!$Q$2:$Q$85))/(SUMIF('Calcul'!$B$2:$B$85,5,'Calcul'!$J$2:$J$85)+SUMIF('Calcul'!$B$2:$B$85,5,'Calcul'!$Q$2:$Q$85))</f>
        <v/>
      </c>
      <c r="H15" s="47">
        <f>(SUMIF('Calcul'!$B$2:$B$85,6,'Calcul'!$R$2:$R$85)+SUMIF('Calcul'!$B$2:$B$85,6,'Calcul'!$J$2:$J$85)+SUMIF('Calcul'!$B$2:$B$85,6,'Calcul'!$Q$2:$Q$85))/(SUMIF('Calcul'!$B$2:$B$85,6,'Calcul'!$J$2:$J$85)+SUMIF('Calcul'!$B$2:$B$85,6,'Calcul'!$Q$2:$Q$85))</f>
        <v/>
      </c>
      <c r="I15" s="47">
        <f>(SUMIF('Calcul'!$B$2:$B$85,7,'Calcul'!$R$2:$R$85)+SUMIF('Calcul'!$B$2:$B$85,7,'Calcul'!$J$2:$J$85)+SUMIF('Calcul'!$B$2:$B$85,7,'Calcul'!$Q$2:$Q$85))/(SUMIF('Calcul'!$B$2:$B$85,7,'Calcul'!$J$2:$J$85)+SUMIF('Calcul'!$B$2:$B$85,7,'Calcul'!$Q$2:$Q$85))</f>
        <v/>
      </c>
      <c r="J15" s="48">
        <f>AVERAGE(C15:I15)</f>
        <v/>
      </c>
    </row>
    <row r="17">
      <c r="B17" s="40" t="inlineStr">
        <is>
          <t>DSCR minimum sur la période</t>
        </is>
      </c>
      <c r="C17" s="47">
        <f>MIN(C15:I15)</f>
        <v/>
      </c>
      <c r="D17" s="17" t="inlineStr">
        <is>
          <t>Un DSCR &gt; 1 signifie que l'exploitation couvre intégralement le service du leasing chaque année.</t>
        </is>
      </c>
    </row>
  </sheetData>
  <mergeCells count="8">
    <mergeCell ref="D5:F5"/>
    <mergeCell ref="D17:J17"/>
    <mergeCell ref="B9:J9"/>
    <mergeCell ref="B1:J1"/>
    <mergeCell ref="B4:J4"/>
    <mergeCell ref="D7:F7"/>
    <mergeCell ref="D6:F6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2" customHeight="1">
      <c r="B1" s="12" t="inlineStr">
        <is>
          <t>Distribution &amp; actionnariat</t>
        </is>
      </c>
    </row>
    <row r="2">
      <c r="B2" s="13" t="inlineStr">
        <is>
          <t>Priorité à l'investisseur (capital + prime 20 % = 360 k), puis pro-rata. 30 % conservé en réserve.</t>
        </is>
      </c>
    </row>
    <row r="4">
      <c r="C4" s="27" t="inlineStr">
        <is>
          <t>An 1</t>
        </is>
      </c>
      <c r="D4" s="27" t="inlineStr">
        <is>
          <t>An 2</t>
        </is>
      </c>
      <c r="E4" s="27" t="inlineStr">
        <is>
          <t>An 3</t>
        </is>
      </c>
      <c r="F4" s="27" t="inlineStr">
        <is>
          <t>An 4</t>
        </is>
      </c>
      <c r="G4" s="27" t="inlineStr">
        <is>
          <t>An 5</t>
        </is>
      </c>
      <c r="H4" s="27" t="inlineStr">
        <is>
          <t>An 6</t>
        </is>
      </c>
      <c r="I4" s="27" t="inlineStr">
        <is>
          <t>An 7</t>
        </is>
      </c>
      <c r="J4" s="28" t="inlineStr">
        <is>
          <t>Total 7 ans</t>
        </is>
      </c>
    </row>
    <row r="5">
      <c r="B5" s="24" t="inlineStr">
        <is>
          <t>Résultat net</t>
        </is>
      </c>
      <c r="C5" s="30">
        <f>(SUMIF('Calcul'!$B$2:$B$85,1,'Calcul'!$R$2:$R$85)-MAX(0,SUMIF('Calcul'!$B$2:$B$85,1,'Calcul'!$R$2:$R$85))*'Hypothèses'!$C$54)</f>
        <v/>
      </c>
      <c r="D5" s="30">
        <f>(SUMIF('Calcul'!$B$2:$B$85,2,'Calcul'!$R$2:$R$85)-MAX(0,SUMIF('Calcul'!$B$2:$B$85,2,'Calcul'!$R$2:$R$85))*'Hypothèses'!$C$54)</f>
        <v/>
      </c>
      <c r="E5" s="30">
        <f>(SUMIF('Calcul'!$B$2:$B$85,3,'Calcul'!$R$2:$R$85)-MAX(0,SUMIF('Calcul'!$B$2:$B$85,3,'Calcul'!$R$2:$R$85))*'Hypothèses'!$C$54)</f>
        <v/>
      </c>
      <c r="F5" s="30">
        <f>(SUMIF('Calcul'!$B$2:$B$85,4,'Calcul'!$R$2:$R$85)-MAX(0,SUMIF('Calcul'!$B$2:$B$85,4,'Calcul'!$R$2:$R$85))*'Hypothèses'!$C$54)</f>
        <v/>
      </c>
      <c r="G5" s="30">
        <f>(SUMIF('Calcul'!$B$2:$B$85,5,'Calcul'!$R$2:$R$85)-MAX(0,SUMIF('Calcul'!$B$2:$B$85,5,'Calcul'!$R$2:$R$85))*'Hypothèses'!$C$54)</f>
        <v/>
      </c>
      <c r="H5" s="30">
        <f>(SUMIF('Calcul'!$B$2:$B$85,6,'Calcul'!$R$2:$R$85)-MAX(0,SUMIF('Calcul'!$B$2:$B$85,6,'Calcul'!$R$2:$R$85))*'Hypothèses'!$C$54)</f>
        <v/>
      </c>
      <c r="I5" s="30">
        <f>(SUMIF('Calcul'!$B$2:$B$85,7,'Calcul'!$R$2:$R$85)-MAX(0,SUMIF('Calcul'!$B$2:$B$85,7,'Calcul'!$R$2:$R$85))*'Hypothèses'!$C$54)</f>
        <v/>
      </c>
      <c r="J5" s="20">
        <f>SUM(C5:I5)</f>
        <v/>
      </c>
    </row>
    <row r="6">
      <c r="B6" s="31" t="inlineStr">
        <is>
          <t xml:space="preserve">   Enveloppe distribuable (payout 70 %)</t>
        </is>
      </c>
      <c r="C6" s="32">
        <f>'Hypothèses'!$C$56*(SUMIF('Calcul'!$B$2:$B$85,1,'Calcul'!$R$2:$R$85)-MAX(0,SUMIF('Calcul'!$B$2:$B$85,1,'Calcul'!$R$2:$R$85))*'Hypothèses'!$C$54)</f>
        <v/>
      </c>
      <c r="D6" s="32">
        <f>'Hypothèses'!$C$56*(SUMIF('Calcul'!$B$2:$B$85,2,'Calcul'!$R$2:$R$85)-MAX(0,SUMIF('Calcul'!$B$2:$B$85,2,'Calcul'!$R$2:$R$85))*'Hypothèses'!$C$54)</f>
        <v/>
      </c>
      <c r="E6" s="32">
        <f>'Hypothèses'!$C$56*(SUMIF('Calcul'!$B$2:$B$85,3,'Calcul'!$R$2:$R$85)-MAX(0,SUMIF('Calcul'!$B$2:$B$85,3,'Calcul'!$R$2:$R$85))*'Hypothèses'!$C$54)</f>
        <v/>
      </c>
      <c r="F6" s="32">
        <f>'Hypothèses'!$C$56*(SUMIF('Calcul'!$B$2:$B$85,4,'Calcul'!$R$2:$R$85)-MAX(0,SUMIF('Calcul'!$B$2:$B$85,4,'Calcul'!$R$2:$R$85))*'Hypothèses'!$C$54)</f>
        <v/>
      </c>
      <c r="G6" s="32">
        <f>'Hypothèses'!$C$56*(SUMIF('Calcul'!$B$2:$B$85,5,'Calcul'!$R$2:$R$85)-MAX(0,SUMIF('Calcul'!$B$2:$B$85,5,'Calcul'!$R$2:$R$85))*'Hypothèses'!$C$54)</f>
        <v/>
      </c>
      <c r="H6" s="32">
        <f>'Hypothèses'!$C$56*(SUMIF('Calcul'!$B$2:$B$85,6,'Calcul'!$R$2:$R$85)-MAX(0,SUMIF('Calcul'!$B$2:$B$85,6,'Calcul'!$R$2:$R$85))*'Hypothèses'!$C$54)</f>
        <v/>
      </c>
      <c r="I6" s="32">
        <f>'Hypothèses'!$C$56*(SUMIF('Calcul'!$B$2:$B$85,7,'Calcul'!$R$2:$R$85)-MAX(0,SUMIF('Calcul'!$B$2:$B$85,7,'Calcul'!$R$2:$R$85))*'Hypothèses'!$C$54)</f>
        <v/>
      </c>
      <c r="J6" s="20">
        <f>SUM(C6:I6)</f>
        <v/>
      </c>
    </row>
    <row r="7">
      <c r="B7" s="31" t="inlineStr">
        <is>
          <t xml:space="preserve">   Récupération prioritaire Nessim</t>
        </is>
      </c>
      <c r="C7" s="32">
        <f>MIN('Hypothèses'!$C$56*(SUMIF('Calcul'!$B$2:$B$85,1,'Calcul'!$R$2:$R$85)-MAX(0,SUMIF('Calcul'!$B$2:$B$85,1,'Calcul'!$R$2:$R$85))*'Hypothèses'!$C$54),MAX(0,'Hypothèses'!$C$58-(0)))</f>
        <v/>
      </c>
      <c r="D7" s="32">
        <f>MIN('Hypothèses'!$C$56*(SUMIF('Calcul'!$B$2:$B$85,2,'Calcul'!$R$2:$R$85)-MAX(0,SUMIF('Calcul'!$B$2:$B$85,2,'Calcul'!$R$2:$R$85))*'Hypothèses'!$C$54),MAX(0,'Hypothèses'!$C$58-('Hypothèses'!$C$56*(SUMIF('Calcul'!$B$2:$B$85,1,'Calcul'!$R$2:$R$85)-MAX(0,SUMIF('Calcul'!$B$2:$B$85,1,'Calcul'!$R$2:$R$85))*'Hypothèses'!$C$54))))</f>
        <v/>
      </c>
      <c r="E7" s="32">
        <f>MIN('Hypothèses'!$C$56*(SUMIF('Calcul'!$B$2:$B$85,3,'Calcul'!$R$2:$R$85)-MAX(0,SUMIF('Calcul'!$B$2:$B$85,3,'Calcul'!$R$2:$R$85))*'Hypothèses'!$C$54),MAX(0,'Hypothèses'!$C$58-('Hypothèses'!$C$56*(SUMIF('Calcul'!$B$2:$B$85,1,'Calcul'!$R$2:$R$85)-MAX(0,SUMIF('Calcul'!$B$2:$B$85,1,'Calcul'!$R$2:$R$85))*'Hypothèses'!$C$54)+'Hypothèses'!$C$56*(SUMIF('Calcul'!$B$2:$B$85,2,'Calcul'!$R$2:$R$85)-MAX(0,SUMIF('Calcul'!$B$2:$B$85,2,'Calcul'!$R$2:$R$85))*'Hypothèses'!$C$54))))</f>
        <v/>
      </c>
      <c r="F7" s="32">
        <f>MIN('Hypothèses'!$C$56*(SUMIF('Calcul'!$B$2:$B$85,4,'Calcul'!$R$2:$R$85)-MAX(0,SUMIF('Calcul'!$B$2:$B$85,4,'Calcul'!$R$2:$R$85))*'Hypothèses'!$C$54),MAX(0,'Hypothèses'!$C$58-('Hypothèses'!$C$56*(SUMIF('Calcul'!$B$2:$B$85,1,'Calcul'!$R$2:$R$85)-MAX(0,SUMIF('Calcul'!$B$2:$B$85,1,'Calcul'!$R$2:$R$85))*'Hypothèses'!$C$54)+'Hypothèses'!$C$56*(SUMIF('Calcul'!$B$2:$B$85,2,'Calcul'!$R$2:$R$85)-MAX(0,SUMIF('Calcul'!$B$2:$B$85,2,'Calcul'!$R$2:$R$85))*'Hypothèses'!$C$54)+'Hypothèses'!$C$56*(SUMIF('Calcul'!$B$2:$B$85,3,'Calcul'!$R$2:$R$85)-MAX(0,SUMIF('Calcul'!$B$2:$B$85,3,'Calcul'!$R$2:$R$85))*'Hypothèses'!$C$54))))</f>
        <v/>
      </c>
      <c r="G7" s="32">
        <f>MIN('Hypothèses'!$C$56*(SUMIF('Calcul'!$B$2:$B$85,5,'Calcul'!$R$2:$R$85)-MAX(0,SUMIF('Calcul'!$B$2:$B$85,5,'Calcul'!$R$2:$R$85))*'Hypothèses'!$C$54),MAX(0,'Hypothèses'!$C$58-('Hypothèses'!$C$56*(SUMIF('Calcul'!$B$2:$B$85,1,'Calcul'!$R$2:$R$85)-MAX(0,SUMIF('Calcul'!$B$2:$B$85,1,'Calcul'!$R$2:$R$85))*'Hypothèses'!$C$54)+'Hypothèses'!$C$56*(SUMIF('Calcul'!$B$2:$B$85,2,'Calcul'!$R$2:$R$85)-MAX(0,SUMIF('Calcul'!$B$2:$B$85,2,'Calcul'!$R$2:$R$85))*'Hypothèses'!$C$54)+'Hypothèses'!$C$56*(SUMIF('Calcul'!$B$2:$B$85,3,'Calcul'!$R$2:$R$85)-MAX(0,SUMIF('Calcul'!$B$2:$B$85,3,'Calcul'!$R$2:$R$85))*'Hypothèses'!$C$54)+'Hypothèses'!$C$56*(SUMIF('Calcul'!$B$2:$B$85,4,'Calcul'!$R$2:$R$85)-MAX(0,SUMIF('Calcul'!$B$2:$B$85,4,'Calcul'!$R$2:$R$85))*'Hypothèses'!$C$54))))</f>
        <v/>
      </c>
      <c r="H7" s="32">
        <f>MIN('Hypothèses'!$C$56*(SUMIF('Calcul'!$B$2:$B$85,6,'Calcul'!$R$2:$R$85)-MAX(0,SUMIF('Calcul'!$B$2:$B$85,6,'Calcul'!$R$2:$R$85))*'Hypothèses'!$C$54),MAX(0,'Hypothèses'!$C$58-('Hypothèses'!$C$56*(SUMIF('Calcul'!$B$2:$B$85,1,'Calcul'!$R$2:$R$85)-MAX(0,SUMIF('Calcul'!$B$2:$B$85,1,'Calcul'!$R$2:$R$85))*'Hypothèses'!$C$54)+'Hypothèses'!$C$56*(SUMIF('Calcul'!$B$2:$B$85,2,'Calcul'!$R$2:$R$85)-MAX(0,SUMIF('Calcul'!$B$2:$B$85,2,'Calcul'!$R$2:$R$85))*'Hypothèses'!$C$54)+'Hypothèses'!$C$56*(SUMIF('Calcul'!$B$2:$B$85,3,'Calcul'!$R$2:$R$85)-MAX(0,SUMIF('Calcul'!$B$2:$B$85,3,'Calcul'!$R$2:$R$85))*'Hypothèses'!$C$54)+'Hypothèses'!$C$56*(SUMIF('Calcul'!$B$2:$B$85,4,'Calcul'!$R$2:$R$85)-MAX(0,SUMIF('Calcul'!$B$2:$B$85,4,'Calcul'!$R$2:$R$85))*'Hypothèses'!$C$54)+'Hypothèses'!$C$56*(SUMIF('Calcul'!$B$2:$B$85,5,'Calcul'!$R$2:$R$85)-MAX(0,SUMIF('Calcul'!$B$2:$B$85,5,'Calcul'!$R$2:$R$85))*'Hypothèses'!$C$54))))</f>
        <v/>
      </c>
      <c r="I7" s="32">
        <f>MIN('Hypothèses'!$C$56*(SUMIF('Calcul'!$B$2:$B$85,7,'Calcul'!$R$2:$R$85)-MAX(0,SUMIF('Calcul'!$B$2:$B$85,7,'Calcul'!$R$2:$R$85))*'Hypothèses'!$C$54),MAX(0,'Hypothèses'!$C$58-('Hypothèses'!$C$56*(SUMIF('Calcul'!$B$2:$B$85,1,'Calcul'!$R$2:$R$85)-MAX(0,SUMIF('Calcul'!$B$2:$B$85,1,'Calcul'!$R$2:$R$85))*'Hypothèses'!$C$54)+'Hypothèses'!$C$56*(SUMIF('Calcul'!$B$2:$B$85,2,'Calcul'!$R$2:$R$85)-MAX(0,SUMIF('Calcul'!$B$2:$B$85,2,'Calcul'!$R$2:$R$85))*'Hypothèses'!$C$54)+'Hypothèses'!$C$56*(SUMIF('Calcul'!$B$2:$B$85,3,'Calcul'!$R$2:$R$85)-MAX(0,SUMIF('Calcul'!$B$2:$B$85,3,'Calcul'!$R$2:$R$85))*'Hypothèses'!$C$54)+'Hypothèses'!$C$56*(SUMIF('Calcul'!$B$2:$B$85,4,'Calcul'!$R$2:$R$85)-MAX(0,SUMIF('Calcul'!$B$2:$B$85,4,'Calcul'!$R$2:$R$85))*'Hypothèses'!$C$54)+'Hypothèses'!$C$56*(SUMIF('Calcul'!$B$2:$B$85,5,'Calcul'!$R$2:$R$85)-MAX(0,SUMIF('Calcul'!$B$2:$B$85,5,'Calcul'!$R$2:$R$85))*'Hypothèses'!$C$54)+'Hypothèses'!$C$56*(SUMIF('Calcul'!$B$2:$B$85,6,'Calcul'!$R$2:$R$85)-MAX(0,SUMIF('Calcul'!$B$2:$B$85,6,'Calcul'!$R$2:$R$85))*'Hypothèses'!$C$54))))</f>
        <v/>
      </c>
      <c r="J7" s="20">
        <f>SUM(C7:I7)</f>
        <v/>
      </c>
    </row>
    <row r="8">
      <c r="B8" s="31" t="inlineStr">
        <is>
          <t xml:space="preserve">   Reste à répartir au pro-rata</t>
        </is>
      </c>
      <c r="C8" s="32">
        <f>'Hypothèses'!$C$56*(SUMIF('Calcul'!$B$2:$B$85,1,'Calcul'!$R$2:$R$85)-MAX(0,SUMIF('Calcul'!$B$2:$B$85,1,'Calcul'!$R$2:$R$85))*'Hypothèses'!$C$54)-C7</f>
        <v/>
      </c>
      <c r="D8" s="32">
        <f>'Hypothèses'!$C$56*(SUMIF('Calcul'!$B$2:$B$85,2,'Calcul'!$R$2:$R$85)-MAX(0,SUMIF('Calcul'!$B$2:$B$85,2,'Calcul'!$R$2:$R$85))*'Hypothèses'!$C$54)-D7</f>
        <v/>
      </c>
      <c r="E8" s="32">
        <f>'Hypothèses'!$C$56*(SUMIF('Calcul'!$B$2:$B$85,3,'Calcul'!$R$2:$R$85)-MAX(0,SUMIF('Calcul'!$B$2:$B$85,3,'Calcul'!$R$2:$R$85))*'Hypothèses'!$C$54)-E7</f>
        <v/>
      </c>
      <c r="F8" s="32">
        <f>'Hypothèses'!$C$56*(SUMIF('Calcul'!$B$2:$B$85,4,'Calcul'!$R$2:$R$85)-MAX(0,SUMIF('Calcul'!$B$2:$B$85,4,'Calcul'!$R$2:$R$85))*'Hypothèses'!$C$54)-F7</f>
        <v/>
      </c>
      <c r="G8" s="32">
        <f>'Hypothèses'!$C$56*(SUMIF('Calcul'!$B$2:$B$85,5,'Calcul'!$R$2:$R$85)-MAX(0,SUMIF('Calcul'!$B$2:$B$85,5,'Calcul'!$R$2:$R$85))*'Hypothèses'!$C$54)-G7</f>
        <v/>
      </c>
      <c r="H8" s="32">
        <f>'Hypothèses'!$C$56*(SUMIF('Calcul'!$B$2:$B$85,6,'Calcul'!$R$2:$R$85)-MAX(0,SUMIF('Calcul'!$B$2:$B$85,6,'Calcul'!$R$2:$R$85))*'Hypothèses'!$C$54)-H7</f>
        <v/>
      </c>
      <c r="I8" s="32">
        <f>'Hypothèses'!$C$56*(SUMIF('Calcul'!$B$2:$B$85,7,'Calcul'!$R$2:$R$85)-MAX(0,SUMIF('Calcul'!$B$2:$B$85,7,'Calcul'!$R$2:$R$85))*'Hypothèses'!$C$54)-I7</f>
        <v/>
      </c>
      <c r="J8" s="20">
        <f>SUM(C8:I8)</f>
        <v/>
      </c>
    </row>
    <row r="9" ht="18" customHeight="1">
      <c r="B9" s="14" t="inlineStr">
        <is>
          <t xml:space="preserve">  DIVIDENDES PAR ASSOCIÉ (mêmes colonnes An 1 … An 7)</t>
        </is>
      </c>
    </row>
    <row r="11">
      <c r="B11" s="24" t="inlineStr">
        <is>
          <t>Nessim Mami (45 %)</t>
        </is>
      </c>
      <c r="C11" s="30">
        <f>C7+C8*'Hypothèses'!$C$61</f>
        <v/>
      </c>
      <c r="D11" s="30">
        <f>D7+D8*'Hypothèses'!$C$61</f>
        <v/>
      </c>
      <c r="E11" s="30">
        <f>E7+E8*'Hypothèses'!$C$61</f>
        <v/>
      </c>
      <c r="F11" s="30">
        <f>F7+F8*'Hypothèses'!$C$61</f>
        <v/>
      </c>
      <c r="G11" s="30">
        <f>G7+G8*'Hypothèses'!$C$61</f>
        <v/>
      </c>
      <c r="H11" s="30">
        <f>H7+H8*'Hypothèses'!$C$61</f>
        <v/>
      </c>
      <c r="I11" s="30">
        <f>I7+I8*'Hypothèses'!$C$61</f>
        <v/>
      </c>
      <c r="J11" s="20">
        <f>SUM(C11:I11)</f>
        <v/>
      </c>
    </row>
    <row r="12">
      <c r="B12" s="10" t="inlineStr">
        <is>
          <t>Ali Ben Hamoud (25 %)</t>
        </is>
      </c>
      <c r="C12" s="33">
        <f>C8*'Hypothèses'!$C$62</f>
        <v/>
      </c>
      <c r="D12" s="33">
        <f>D8*'Hypothèses'!$C$62</f>
        <v/>
      </c>
      <c r="E12" s="33">
        <f>E8*'Hypothèses'!$C$62</f>
        <v/>
      </c>
      <c r="F12" s="33">
        <f>F8*'Hypothèses'!$C$62</f>
        <v/>
      </c>
      <c r="G12" s="33">
        <f>G8*'Hypothèses'!$C$62</f>
        <v/>
      </c>
      <c r="H12" s="33">
        <f>H8*'Hypothèses'!$C$62</f>
        <v/>
      </c>
      <c r="I12" s="33">
        <f>I8*'Hypothèses'!$C$62</f>
        <v/>
      </c>
      <c r="J12" s="20">
        <f>SUM(C12:I12)</f>
        <v/>
      </c>
    </row>
    <row r="13">
      <c r="B13" s="10" t="inlineStr">
        <is>
          <t>Mohamed Lamine Belajouza (25 %)</t>
        </is>
      </c>
      <c r="C13" s="33">
        <f>C8*'Hypothèses'!$C$63</f>
        <v/>
      </c>
      <c r="D13" s="33">
        <f>D8*'Hypothèses'!$C$63</f>
        <v/>
      </c>
      <c r="E13" s="33">
        <f>E8*'Hypothèses'!$C$63</f>
        <v/>
      </c>
      <c r="F13" s="33">
        <f>F8*'Hypothèses'!$C$63</f>
        <v/>
      </c>
      <c r="G13" s="33">
        <f>G8*'Hypothèses'!$C$63</f>
        <v/>
      </c>
      <c r="H13" s="33">
        <f>H8*'Hypothèses'!$C$63</f>
        <v/>
      </c>
      <c r="I13" s="33">
        <f>I8*'Hypothèses'!$C$63</f>
        <v/>
      </c>
      <c r="J13" s="20">
        <f>SUM(C13:I13)</f>
        <v/>
      </c>
    </row>
    <row r="14">
      <c r="B14" s="10" t="inlineStr">
        <is>
          <t>Nazeh Ben Ammar (5 %)</t>
        </is>
      </c>
      <c r="C14" s="33">
        <f>C8*'Hypothèses'!$C$64</f>
        <v/>
      </c>
      <c r="D14" s="33">
        <f>D8*'Hypothèses'!$C$64</f>
        <v/>
      </c>
      <c r="E14" s="33">
        <f>E8*'Hypothèses'!$C$64</f>
        <v/>
      </c>
      <c r="F14" s="33">
        <f>F8*'Hypothèses'!$C$64</f>
        <v/>
      </c>
      <c r="G14" s="33">
        <f>G8*'Hypothèses'!$C$64</f>
        <v/>
      </c>
      <c r="H14" s="33">
        <f>H8*'Hypothèses'!$C$64</f>
        <v/>
      </c>
      <c r="I14" s="33">
        <f>I8*'Hypothèses'!$C$64</f>
        <v/>
      </c>
      <c r="J14" s="20">
        <f>SUM(C14:I14)</f>
        <v/>
      </c>
    </row>
    <row r="15">
      <c r="B15" s="43" t="inlineStr">
        <is>
          <t>TOTAL distribué</t>
        </is>
      </c>
      <c r="C15" s="36">
        <f>SUM(C11:C14)</f>
        <v/>
      </c>
      <c r="D15" s="36">
        <f>SUM(D11:D14)</f>
        <v/>
      </c>
      <c r="E15" s="36">
        <f>SUM(E11:E14)</f>
        <v/>
      </c>
      <c r="F15" s="36">
        <f>SUM(F11:F14)</f>
        <v/>
      </c>
      <c r="G15" s="36">
        <f>SUM(G11:G14)</f>
        <v/>
      </c>
      <c r="H15" s="36">
        <f>SUM(H11:H14)</f>
        <v/>
      </c>
      <c r="I15" s="36">
        <f>SUM(I11:I14)</f>
        <v/>
      </c>
      <c r="J15" s="36">
        <f>SUM(C15:I15)</f>
        <v/>
      </c>
    </row>
    <row r="17">
      <c r="B17" s="40" t="inlineStr">
        <is>
          <t>Multiple Nessim (reçu / capital)</t>
        </is>
      </c>
      <c r="C17" s="47">
        <f>J11/'Hypothèses'!$C$55</f>
        <v/>
      </c>
    </row>
    <row r="18">
      <c r="B18" s="40" t="inlineStr">
        <is>
          <t>TRI de l'investisseur (Nessim)</t>
        </is>
      </c>
      <c r="C18" s="51">
        <f>IRR(C20:J20)</f>
        <v/>
      </c>
    </row>
    <row r="20">
      <c r="B20" s="17" t="inlineStr">
        <is>
          <t>Flux investisseur (pour TRI)</t>
        </is>
      </c>
      <c r="C20" s="52">
        <f>-'Hypothèses'!$C$55</f>
        <v/>
      </c>
      <c r="D20" s="52">
        <f>C11</f>
        <v/>
      </c>
      <c r="E20" s="52">
        <f>D11</f>
        <v/>
      </c>
      <c r="F20" s="52">
        <f>E11</f>
        <v/>
      </c>
      <c r="G20" s="52">
        <f>F11</f>
        <v/>
      </c>
      <c r="H20" s="52">
        <f>G11</f>
        <v/>
      </c>
      <c r="I20" s="52">
        <f>H11</f>
        <v/>
      </c>
      <c r="J20" s="52">
        <f>I11</f>
        <v/>
      </c>
    </row>
  </sheetData>
  <mergeCells count="3">
    <mergeCell ref="B9:J9"/>
    <mergeCell ref="B1:J1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2" customHeight="1">
      <c r="B1" s="12" t="inlineStr">
        <is>
          <t>Notes aux états financiers prévisionnels</t>
        </is>
      </c>
    </row>
    <row r="2">
      <c r="B2" s="13" t="inlineStr">
        <is>
          <t>Règles de présentation et hypothèses structurantes.</t>
        </is>
      </c>
    </row>
    <row r="4">
      <c r="B4" s="53" t="inlineStr">
        <is>
          <t>1. Référentiel comptable</t>
        </is>
      </c>
    </row>
    <row r="5" ht="40" customHeight="1">
      <c r="B5" s="54" t="inlineStr">
        <is>
          <t>États financiers prévisionnels établis selon le Système Comptable des Entreprises (Tunisie), sur un horizon de 7 ans, exprimés en dinars tunisiens (DT).</t>
        </is>
      </c>
    </row>
    <row r="7">
      <c r="B7" s="53" t="inlineStr">
        <is>
          <t>2. Traitement du leasing</t>
        </is>
      </c>
    </row>
    <row r="8" ht="40" customHeight="1">
      <c r="B8" s="54" t="inlineStr">
        <is>
          <t>Les machines et le véhicule utilitaire sont financés en leasing. Traités en location simple : ils ne figurent pas à l'actif et les loyers sont comptabilisés en charges d'exploitation. Durée du leasing machine : 5 ans (au-delà, loyer nul).</t>
        </is>
      </c>
    </row>
    <row r="10">
      <c r="B10" s="53" t="inlineStr">
        <is>
          <t>3. Absence de dette bancaire</t>
        </is>
      </c>
    </row>
    <row r="11" ht="40" customHeight="1">
      <c r="B11" s="54" t="inlineStr">
        <is>
          <t>Le financement repose exclusivement sur le leasing et le capital social. Aucun emprunt bancaire — d'où des charges financières nulles.</t>
        </is>
      </c>
    </row>
    <row r="13">
      <c r="B13" s="53" t="inlineStr">
        <is>
          <t>4. Reconnaissance des revenus</t>
        </is>
      </c>
    </row>
    <row r="14" ht="40" customHeight="1">
      <c r="B14" s="54" t="inlineStr">
        <is>
          <t>Modèle de revenue share 60/40 : HCTECH perçoit 60 % de la valeur de l'essence récupérée, la station 40 % (sans investissement). Revenus reconnus au rythme de la récupération.</t>
        </is>
      </c>
    </row>
    <row r="16">
      <c r="B16" s="53" t="inlineStr">
        <is>
          <t>5. Impôt sur les bénéfices</t>
        </is>
      </c>
    </row>
    <row r="17" ht="40" customHeight="1">
      <c r="B17" s="54" t="inlineStr">
        <is>
          <t>IS 25 % + CSS 3 % = 28 % du résultat. L'impôt d'un exercice est exigible l'exercice suivant : il figure en passif courant au bilan et son décaissement apparaît l'année N+1 dans les flux.</t>
        </is>
      </c>
    </row>
    <row r="19">
      <c r="B19" s="53" t="inlineStr">
        <is>
          <t>6. Politique de distribution</t>
        </is>
      </c>
    </row>
    <row r="20" ht="40" customHeight="1">
      <c r="B20" s="54" t="inlineStr">
        <is>
          <t>70 % du résultat distribué, 30 % conservé en réserve. L'investisseur (Nessim Mami) bénéficie d'une récupération prioritaire : capital + prime de risque de 20 % = 360 000 DT, avant tout partage au pro-rata.</t>
        </is>
      </c>
    </row>
    <row r="22">
      <c r="B22" s="53" t="inlineStr">
        <is>
          <t>7. Capital social</t>
        </is>
      </c>
    </row>
    <row r="23" ht="40" customHeight="1">
      <c r="B23" s="54" t="inlineStr">
        <is>
          <t>300 000 DT, libéré à 100 % par l'investisseur Nessim Mami. Sert de fonds de roulement ; la trésorerie reste positive sur toute la période (minimum +278 k DT).</t>
        </is>
      </c>
    </row>
    <row r="25">
      <c r="B25" s="53" t="inlineStr">
        <is>
          <t>8. Source des données</t>
        </is>
      </c>
    </row>
    <row r="26" ht="40" customHeight="1">
      <c r="B26" s="54" t="inlineStr">
        <is>
          <t>Tous les montants découlent par formules de l'onglet « Hypothèses ». Modifier une hypothèse recalcule automatiquement l'ensemble des états financiers.</t>
        </is>
      </c>
    </row>
  </sheetData>
  <mergeCells count="2">
    <mergeCell ref="B1"/>
    <mergeCell ref="B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F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8" customWidth="1" min="3" max="3"/>
    <col width="4" customWidth="1" min="4" max="4"/>
    <col width="40" customWidth="1" min="5" max="5"/>
    <col width="18" customWidth="1" min="6" max="6"/>
  </cols>
  <sheetData>
    <row r="1" ht="22" customHeight="1">
      <c r="B1" s="12" t="inlineStr">
        <is>
          <t>Synthèse — indicateurs clés</t>
        </is>
      </c>
    </row>
    <row r="2">
      <c r="B2" s="13" t="inlineStr">
        <is>
          <t>Vue d'ensemble du dossier de financement leasing.</t>
        </is>
      </c>
    </row>
    <row r="4">
      <c r="B4" s="14" t="inlineStr">
        <is>
          <t xml:space="preserve">  EXPLOITATION</t>
        </is>
      </c>
      <c r="E4" s="42" t="inlineStr">
        <is>
          <t xml:space="preserve">  ACTIONNARIAT &amp; RETOURS</t>
        </is>
      </c>
    </row>
    <row r="5">
      <c r="B5" s="10" t="inlineStr">
        <is>
          <t>Parc de machines (An 7)</t>
        </is>
      </c>
      <c r="C5" s="36">
        <f>'Calcul'!$D$85</f>
        <v/>
      </c>
      <c r="E5" s="10" t="inlineStr">
        <is>
          <t>Capital social</t>
        </is>
      </c>
      <c r="F5" s="22">
        <f>'Hypothèses'!$C$55</f>
        <v/>
      </c>
    </row>
    <row r="6">
      <c r="B6" s="10" t="inlineStr">
        <is>
          <t>Chiffre d'affaires HCTECH (An 7)</t>
        </is>
      </c>
      <c r="C6" s="22">
        <f>'État de résultat'!I7</f>
        <v/>
      </c>
      <c r="E6" s="10" t="inlineStr">
        <is>
          <t>Total distribué (7 ans)</t>
        </is>
      </c>
      <c r="F6" s="22">
        <f>Dividendes!J15</f>
        <v/>
      </c>
    </row>
    <row r="7">
      <c r="B7" s="10" t="inlineStr">
        <is>
          <t>EBITDA (An 7)</t>
        </is>
      </c>
      <c r="C7" s="22">
        <f>'Ratios financiers'!I8</f>
        <v/>
      </c>
      <c r="E7" s="10" t="inlineStr">
        <is>
          <t>Dividendes Nessim (7 ans)</t>
        </is>
      </c>
      <c r="F7" s="22">
        <f>Dividendes!J11</f>
        <v/>
      </c>
    </row>
    <row r="8">
      <c r="B8" s="10" t="inlineStr">
        <is>
          <t>Marge d'EBITDA (An 7)</t>
        </is>
      </c>
      <c r="C8" s="55">
        <f>'Ratios financiers'!I13</f>
        <v/>
      </c>
      <c r="E8" s="10" t="inlineStr">
        <is>
          <t>Multiple Nessim</t>
        </is>
      </c>
      <c r="F8" s="56">
        <f>Dividendes!C17</f>
        <v/>
      </c>
    </row>
    <row r="9">
      <c r="B9" s="10" t="inlineStr">
        <is>
          <t>Résultat net (An 7)</t>
        </is>
      </c>
      <c r="C9" s="22">
        <f>'État de résultat'!I20</f>
        <v/>
      </c>
      <c r="E9" s="10" t="inlineStr">
        <is>
          <t>TRI investisseur (Nessim)</t>
        </is>
      </c>
      <c r="F9" s="57">
        <f>Dividendes!C18</f>
        <v/>
      </c>
    </row>
    <row r="10">
      <c r="B10" s="10" t="inlineStr">
        <is>
          <t>Résultat net cumulé (7 ans)</t>
        </is>
      </c>
      <c r="C10" s="22">
        <f>'État de résultat'!J20</f>
        <v/>
      </c>
    </row>
    <row r="11">
      <c r="B11" s="10" t="inlineStr">
        <is>
          <t>Trésorerie minimale (84 mois)</t>
        </is>
      </c>
      <c r="C11" s="22">
        <f>'Flux de trésorerie'!C20</f>
        <v/>
      </c>
    </row>
    <row r="12">
      <c r="B12" s="44" t="inlineStr">
        <is>
          <t xml:space="preserve">  ATTRACTIVITÉ POUR LE BAILLEUR</t>
        </is>
      </c>
      <c r="E12" s="42" t="inlineStr">
        <is>
          <t xml:space="preserve">  RÉPARTITION DU CAPITAL</t>
        </is>
      </c>
    </row>
    <row r="13">
      <c r="B13" s="10" t="inlineStr">
        <is>
          <t>Couverture du loyer / machine</t>
        </is>
      </c>
      <c r="C13" s="47">
        <f>'Capacité leasing'!C7</f>
        <v/>
      </c>
      <c r="E13" s="10" t="inlineStr">
        <is>
          <t>Nessim Mami (investisseur)</t>
        </is>
      </c>
      <c r="F13" s="57">
        <f>'Hypothèses'!$C$61</f>
        <v/>
      </c>
    </row>
    <row r="14">
      <c r="B14" s="10" t="inlineStr">
        <is>
          <t>DSCR minimum (société)</t>
        </is>
      </c>
      <c r="C14" s="47">
        <f>'Capacité leasing'!C17</f>
        <v/>
      </c>
      <c r="E14" s="10" t="inlineStr">
        <is>
          <t>Ali Ben Hamoud (DT)</t>
        </is>
      </c>
      <c r="F14" s="57">
        <f>'Hypothèses'!$C$62</f>
        <v/>
      </c>
    </row>
    <row r="15">
      <c r="B15" s="10" t="inlineStr">
        <is>
          <t>Total engagements leasing (7 ans)</t>
        </is>
      </c>
      <c r="C15" s="25">
        <f>'Capacité leasing'!J13</f>
        <v/>
      </c>
      <c r="E15" s="10" t="inlineStr">
        <is>
          <t>Mohamed Lamine Belajouza (CEO)</t>
        </is>
      </c>
      <c r="F15" s="57">
        <f>'Hypothèses'!$C$63</f>
        <v/>
      </c>
    </row>
    <row r="16">
      <c r="B16" s="10" t="inlineStr">
        <is>
          <t>Dette bancaire</t>
        </is>
      </c>
      <c r="C16" s="25">
        <f>0</f>
        <v/>
      </c>
      <c r="E16" s="10" t="inlineStr">
        <is>
          <t>Nazeh Ben Ammar (conseiller)</t>
        </is>
      </c>
      <c r="F16" s="57">
        <f>'Hypothèses'!$C$64</f>
        <v/>
      </c>
    </row>
  </sheetData>
  <mergeCells count="6">
    <mergeCell ref="E12:F12"/>
    <mergeCell ref="E4:F4"/>
    <mergeCell ref="B2:F2"/>
    <mergeCell ref="B1:F1"/>
    <mergeCell ref="B4:C4"/>
    <mergeCell ref="B12:C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8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 ht="30" customHeight="1">
      <c r="A1" s="58" t="inlineStr">
        <is>
          <t>Mois</t>
        </is>
      </c>
      <c r="B1" s="58" t="inlineStr">
        <is>
          <t>Année</t>
        </is>
      </c>
      <c r="C1" s="58" t="inlineStr">
        <is>
          <t>Vagues cum.</t>
        </is>
      </c>
      <c r="D1" s="58" t="inlineStr">
        <is>
          <t>Parc</t>
        </is>
      </c>
      <c r="E1" s="58" t="inlineStr">
        <is>
          <t>Vagues&gt;durée</t>
        </is>
      </c>
      <c r="F1" s="58" t="inlineStr">
        <is>
          <t>Mach. en leasing</t>
        </is>
      </c>
      <c r="G1" s="58" t="inlineStr">
        <is>
          <t>Prix essence</t>
        </is>
      </c>
      <c r="H1" s="58" t="inlineStr">
        <is>
          <t>Revenu HCTECH</t>
        </is>
      </c>
      <c r="I1" s="58" t="inlineStr">
        <is>
          <t>OPEX mach.</t>
        </is>
      </c>
      <c r="J1" s="58" t="inlineStr">
        <is>
          <t>Loyer leasing mach.</t>
        </is>
      </c>
      <c r="K1" s="58" t="inlineStr">
        <is>
          <t>Nb tech.</t>
        </is>
      </c>
      <c r="L1" s="58" t="inlineStr">
        <is>
          <t>Sal. fond.</t>
        </is>
      </c>
      <c r="M1" s="58" t="inlineStr">
        <is>
          <t>Sal. tech.</t>
        </is>
      </c>
      <c r="N1" s="58" t="inlineStr">
        <is>
          <t>Masse sal.</t>
        </is>
      </c>
      <c r="O1" s="58" t="inlineStr">
        <is>
          <t>Loyer bureau</t>
        </is>
      </c>
      <c r="P1" s="58" t="inlineStr">
        <is>
          <t>Frais gén.</t>
        </is>
      </c>
      <c r="Q1" s="58" t="inlineStr">
        <is>
          <t>Leasing véh.</t>
        </is>
      </c>
      <c r="R1" s="58" t="inlineStr">
        <is>
          <t>EBITDA mensuel</t>
        </is>
      </c>
      <c r="S1" s="58" t="inlineStr">
        <is>
          <t>Impôt payé</t>
        </is>
      </c>
      <c r="T1" s="58" t="inlineStr">
        <is>
          <t>Trésorerie cum.</t>
        </is>
      </c>
    </row>
    <row r="2">
      <c r="A2" s="59" t="n">
        <v>1</v>
      </c>
      <c r="B2" s="59">
        <f>INT((A2-1)/12)+1</f>
        <v/>
      </c>
      <c r="C2" s="59">
        <f>IF(A2&lt;'Hypothèses'!$C$28,0,MIN('Hypothèses'!$C$29,INT((A2-'Hypothèses'!$C$28)/'Hypothèses'!$C$27)+1))</f>
        <v/>
      </c>
      <c r="D2" s="59">
        <f>C2*'Hypothèses'!$C$26</f>
        <v/>
      </c>
      <c r="E2" s="59">
        <f>IF((A2-'Hypothèses'!$C$11*12)&lt;'Hypothèses'!$C$28,0,MIN('Hypothèses'!$C$29,INT((A2-'Hypothèses'!$C$11*12-'Hypothèses'!$C$28)/'Hypothèses'!$C$27)+1))</f>
        <v/>
      </c>
      <c r="F2" s="59">
        <f>(C2-E2)*'Hypothèses'!$C$26</f>
        <v/>
      </c>
      <c r="G2" s="59">
        <f>'Hypothèses'!$C$20*(1+'Hypothèses'!$C$21)^(B2-1)</f>
        <v/>
      </c>
      <c r="H2" s="59">
        <f>D2*'Hypothèses'!$C$19*(365/12)*G2*'Hypothèses'!$C$22</f>
        <v/>
      </c>
      <c r="I2" s="59">
        <f>D2*'Hypothèses'!$C$14</f>
        <v/>
      </c>
      <c r="J2" s="59">
        <f>F2*'Hypothèses'!$C$12</f>
        <v/>
      </c>
      <c r="K2" s="59">
        <f>MAX(1,ROUNDUP(D2/'Hypothèses'!$C$40,0))</f>
        <v/>
      </c>
      <c r="L2" s="59">
        <f>MIN('Hypothèses'!$C$35*(1+'Hypothèses'!$C$36)^(B2-1),'Hypothèses'!$C$37)</f>
        <v/>
      </c>
      <c r="M2" s="59">
        <f>'Hypothèses'!$C$38*(1+'Hypothèses'!$C$39)^(B2-1)</f>
        <v/>
      </c>
      <c r="N2" s="59">
        <f>('Hypothèses'!$C$34*L2+K2*M2)*(1+'Hypothèses'!$C$41)</f>
        <v/>
      </c>
      <c r="O2" s="59">
        <f>'Hypothèses'!$C$42*(1+'Hypothèses'!$C$43)^(B2-1)</f>
        <v/>
      </c>
      <c r="P2" s="59">
        <f>'Hypothèses'!$C$44*(1+'Hypothèses'!$C$45)^(B2-1)</f>
        <v/>
      </c>
      <c r="Q2" s="59">
        <f>IF(A2&lt;='Hypothèses'!$C$50,'Hypothèses'!$C$51,0)</f>
        <v/>
      </c>
      <c r="R2" s="59">
        <f>H2-I2-J2-N2-O2-P2-Q2</f>
        <v/>
      </c>
      <c r="S2" s="59">
        <f>IF(AND(MOD(A2,12)=6,A2&gt;=18),MAX(0,SUMIF($B$2:$B$85,B2-1,$R$2:$R$85))*'Hypothèses'!$C$54,0)</f>
        <v/>
      </c>
      <c r="T2" s="59">
        <f>'Hypothèses'!$C$55+R2-S2</f>
        <v/>
      </c>
    </row>
    <row r="3">
      <c r="A3" s="59" t="n">
        <v>2</v>
      </c>
      <c r="B3" s="59">
        <f>INT((A3-1)/12)+1</f>
        <v/>
      </c>
      <c r="C3" s="59">
        <f>IF(A3&lt;'Hypothèses'!$C$28,0,MIN('Hypothèses'!$C$29,INT((A3-'Hypothèses'!$C$28)/'Hypothèses'!$C$27)+1))</f>
        <v/>
      </c>
      <c r="D3" s="59">
        <f>C3*'Hypothèses'!$C$26</f>
        <v/>
      </c>
      <c r="E3" s="59">
        <f>IF((A3-'Hypothèses'!$C$11*12)&lt;'Hypothèses'!$C$28,0,MIN('Hypothèses'!$C$29,INT((A3-'Hypothèses'!$C$11*12-'Hypothèses'!$C$28)/'Hypothèses'!$C$27)+1))</f>
        <v/>
      </c>
      <c r="F3" s="59">
        <f>(C3-E3)*'Hypothèses'!$C$26</f>
        <v/>
      </c>
      <c r="G3" s="59">
        <f>'Hypothèses'!$C$20*(1+'Hypothèses'!$C$21)^(B3-1)</f>
        <v/>
      </c>
      <c r="H3" s="59">
        <f>D3*'Hypothèses'!$C$19*(365/12)*G3*'Hypothèses'!$C$22</f>
        <v/>
      </c>
      <c r="I3" s="59">
        <f>D3*'Hypothèses'!$C$14</f>
        <v/>
      </c>
      <c r="J3" s="59">
        <f>F3*'Hypothèses'!$C$12</f>
        <v/>
      </c>
      <c r="K3" s="59">
        <f>MAX(1,ROUNDUP(D3/'Hypothèses'!$C$40,0))</f>
        <v/>
      </c>
      <c r="L3" s="59">
        <f>MIN('Hypothèses'!$C$35*(1+'Hypothèses'!$C$36)^(B3-1),'Hypothèses'!$C$37)</f>
        <v/>
      </c>
      <c r="M3" s="59">
        <f>'Hypothèses'!$C$38*(1+'Hypothèses'!$C$39)^(B3-1)</f>
        <v/>
      </c>
      <c r="N3" s="59">
        <f>('Hypothèses'!$C$34*L3+K3*M3)*(1+'Hypothèses'!$C$41)</f>
        <v/>
      </c>
      <c r="O3" s="59">
        <f>'Hypothèses'!$C$42*(1+'Hypothèses'!$C$43)^(B3-1)</f>
        <v/>
      </c>
      <c r="P3" s="59">
        <f>'Hypothèses'!$C$44*(1+'Hypothèses'!$C$45)^(B3-1)</f>
        <v/>
      </c>
      <c r="Q3" s="59">
        <f>IF(A3&lt;='Hypothèses'!$C$50,'Hypothèses'!$C$51,0)</f>
        <v/>
      </c>
      <c r="R3" s="59">
        <f>H3-I3-J3-N3-O3-P3-Q3</f>
        <v/>
      </c>
      <c r="S3" s="59">
        <f>IF(AND(MOD(A3,12)=6,A3&gt;=18),MAX(0,SUMIF($B$2:$B$85,B3-1,$R$2:$R$85))*'Hypothèses'!$C$54,0)</f>
        <v/>
      </c>
      <c r="T3" s="59">
        <f>T2+R3-S3</f>
        <v/>
      </c>
    </row>
    <row r="4">
      <c r="A4" s="59" t="n">
        <v>3</v>
      </c>
      <c r="B4" s="59">
        <f>INT((A4-1)/12)+1</f>
        <v/>
      </c>
      <c r="C4" s="59">
        <f>IF(A4&lt;'Hypothèses'!$C$28,0,MIN('Hypothèses'!$C$29,INT((A4-'Hypothèses'!$C$28)/'Hypothèses'!$C$27)+1))</f>
        <v/>
      </c>
      <c r="D4" s="59">
        <f>C4*'Hypothèses'!$C$26</f>
        <v/>
      </c>
      <c r="E4" s="59">
        <f>IF((A4-'Hypothèses'!$C$11*12)&lt;'Hypothèses'!$C$28,0,MIN('Hypothèses'!$C$29,INT((A4-'Hypothèses'!$C$11*12-'Hypothèses'!$C$28)/'Hypothèses'!$C$27)+1))</f>
        <v/>
      </c>
      <c r="F4" s="59">
        <f>(C4-E4)*'Hypothèses'!$C$26</f>
        <v/>
      </c>
      <c r="G4" s="59">
        <f>'Hypothèses'!$C$20*(1+'Hypothèses'!$C$21)^(B4-1)</f>
        <v/>
      </c>
      <c r="H4" s="59">
        <f>D4*'Hypothèses'!$C$19*(365/12)*G4*'Hypothèses'!$C$22</f>
        <v/>
      </c>
      <c r="I4" s="59">
        <f>D4*'Hypothèses'!$C$14</f>
        <v/>
      </c>
      <c r="J4" s="59">
        <f>F4*'Hypothèses'!$C$12</f>
        <v/>
      </c>
      <c r="K4" s="59">
        <f>MAX(1,ROUNDUP(D4/'Hypothèses'!$C$40,0))</f>
        <v/>
      </c>
      <c r="L4" s="59">
        <f>MIN('Hypothèses'!$C$35*(1+'Hypothèses'!$C$36)^(B4-1),'Hypothèses'!$C$37)</f>
        <v/>
      </c>
      <c r="M4" s="59">
        <f>'Hypothèses'!$C$38*(1+'Hypothèses'!$C$39)^(B4-1)</f>
        <v/>
      </c>
      <c r="N4" s="59">
        <f>('Hypothèses'!$C$34*L4+K4*M4)*(1+'Hypothèses'!$C$41)</f>
        <v/>
      </c>
      <c r="O4" s="59">
        <f>'Hypothèses'!$C$42*(1+'Hypothèses'!$C$43)^(B4-1)</f>
        <v/>
      </c>
      <c r="P4" s="59">
        <f>'Hypothèses'!$C$44*(1+'Hypothèses'!$C$45)^(B4-1)</f>
        <v/>
      </c>
      <c r="Q4" s="59">
        <f>IF(A4&lt;='Hypothèses'!$C$50,'Hypothèses'!$C$51,0)</f>
        <v/>
      </c>
      <c r="R4" s="59">
        <f>H4-I4-J4-N4-O4-P4-Q4</f>
        <v/>
      </c>
      <c r="S4" s="59">
        <f>IF(AND(MOD(A4,12)=6,A4&gt;=18),MAX(0,SUMIF($B$2:$B$85,B4-1,$R$2:$R$85))*'Hypothèses'!$C$54,0)</f>
        <v/>
      </c>
      <c r="T4" s="59">
        <f>T3+R4-S4</f>
        <v/>
      </c>
    </row>
    <row r="5">
      <c r="A5" s="59" t="n">
        <v>4</v>
      </c>
      <c r="B5" s="59">
        <f>INT((A5-1)/12)+1</f>
        <v/>
      </c>
      <c r="C5" s="59">
        <f>IF(A5&lt;'Hypothèses'!$C$28,0,MIN('Hypothèses'!$C$29,INT((A5-'Hypothèses'!$C$28)/'Hypothèses'!$C$27)+1))</f>
        <v/>
      </c>
      <c r="D5" s="59">
        <f>C5*'Hypothèses'!$C$26</f>
        <v/>
      </c>
      <c r="E5" s="59">
        <f>IF((A5-'Hypothèses'!$C$11*12)&lt;'Hypothèses'!$C$28,0,MIN('Hypothèses'!$C$29,INT((A5-'Hypothèses'!$C$11*12-'Hypothèses'!$C$28)/'Hypothèses'!$C$27)+1))</f>
        <v/>
      </c>
      <c r="F5" s="59">
        <f>(C5-E5)*'Hypothèses'!$C$26</f>
        <v/>
      </c>
      <c r="G5" s="59">
        <f>'Hypothèses'!$C$20*(1+'Hypothèses'!$C$21)^(B5-1)</f>
        <v/>
      </c>
      <c r="H5" s="59">
        <f>D5*'Hypothèses'!$C$19*(365/12)*G5*'Hypothèses'!$C$22</f>
        <v/>
      </c>
      <c r="I5" s="59">
        <f>D5*'Hypothèses'!$C$14</f>
        <v/>
      </c>
      <c r="J5" s="59">
        <f>F5*'Hypothèses'!$C$12</f>
        <v/>
      </c>
      <c r="K5" s="59">
        <f>MAX(1,ROUNDUP(D5/'Hypothèses'!$C$40,0))</f>
        <v/>
      </c>
      <c r="L5" s="59">
        <f>MIN('Hypothèses'!$C$35*(1+'Hypothèses'!$C$36)^(B5-1),'Hypothèses'!$C$37)</f>
        <v/>
      </c>
      <c r="M5" s="59">
        <f>'Hypothèses'!$C$38*(1+'Hypothèses'!$C$39)^(B5-1)</f>
        <v/>
      </c>
      <c r="N5" s="59">
        <f>('Hypothèses'!$C$34*L5+K5*M5)*(1+'Hypothèses'!$C$41)</f>
        <v/>
      </c>
      <c r="O5" s="59">
        <f>'Hypothèses'!$C$42*(1+'Hypothèses'!$C$43)^(B5-1)</f>
        <v/>
      </c>
      <c r="P5" s="59">
        <f>'Hypothèses'!$C$44*(1+'Hypothèses'!$C$45)^(B5-1)</f>
        <v/>
      </c>
      <c r="Q5" s="59">
        <f>IF(A5&lt;='Hypothèses'!$C$50,'Hypothèses'!$C$51,0)</f>
        <v/>
      </c>
      <c r="R5" s="59">
        <f>H5-I5-J5-N5-O5-P5-Q5</f>
        <v/>
      </c>
      <c r="S5" s="59">
        <f>IF(AND(MOD(A5,12)=6,A5&gt;=18),MAX(0,SUMIF($B$2:$B$85,B5-1,$R$2:$R$85))*'Hypothèses'!$C$54,0)</f>
        <v/>
      </c>
      <c r="T5" s="59">
        <f>T4+R5-S5</f>
        <v/>
      </c>
    </row>
    <row r="6">
      <c r="A6" s="59" t="n">
        <v>5</v>
      </c>
      <c r="B6" s="59">
        <f>INT((A6-1)/12)+1</f>
        <v/>
      </c>
      <c r="C6" s="59">
        <f>IF(A6&lt;'Hypothèses'!$C$28,0,MIN('Hypothèses'!$C$29,INT((A6-'Hypothèses'!$C$28)/'Hypothèses'!$C$27)+1))</f>
        <v/>
      </c>
      <c r="D6" s="59">
        <f>C6*'Hypothèses'!$C$26</f>
        <v/>
      </c>
      <c r="E6" s="59">
        <f>IF((A6-'Hypothèses'!$C$11*12)&lt;'Hypothèses'!$C$28,0,MIN('Hypothèses'!$C$29,INT((A6-'Hypothèses'!$C$11*12-'Hypothèses'!$C$28)/'Hypothèses'!$C$27)+1))</f>
        <v/>
      </c>
      <c r="F6" s="59">
        <f>(C6-E6)*'Hypothèses'!$C$26</f>
        <v/>
      </c>
      <c r="G6" s="59">
        <f>'Hypothèses'!$C$20*(1+'Hypothèses'!$C$21)^(B6-1)</f>
        <v/>
      </c>
      <c r="H6" s="59">
        <f>D6*'Hypothèses'!$C$19*(365/12)*G6*'Hypothèses'!$C$22</f>
        <v/>
      </c>
      <c r="I6" s="59">
        <f>D6*'Hypothèses'!$C$14</f>
        <v/>
      </c>
      <c r="J6" s="59">
        <f>F6*'Hypothèses'!$C$12</f>
        <v/>
      </c>
      <c r="K6" s="59">
        <f>MAX(1,ROUNDUP(D6/'Hypothèses'!$C$40,0))</f>
        <v/>
      </c>
      <c r="L6" s="59">
        <f>MIN('Hypothèses'!$C$35*(1+'Hypothèses'!$C$36)^(B6-1),'Hypothèses'!$C$37)</f>
        <v/>
      </c>
      <c r="M6" s="59">
        <f>'Hypothèses'!$C$38*(1+'Hypothèses'!$C$39)^(B6-1)</f>
        <v/>
      </c>
      <c r="N6" s="59">
        <f>('Hypothèses'!$C$34*L6+K6*M6)*(1+'Hypothèses'!$C$41)</f>
        <v/>
      </c>
      <c r="O6" s="59">
        <f>'Hypothèses'!$C$42*(1+'Hypothèses'!$C$43)^(B6-1)</f>
        <v/>
      </c>
      <c r="P6" s="59">
        <f>'Hypothèses'!$C$44*(1+'Hypothèses'!$C$45)^(B6-1)</f>
        <v/>
      </c>
      <c r="Q6" s="59">
        <f>IF(A6&lt;='Hypothèses'!$C$50,'Hypothèses'!$C$51,0)</f>
        <v/>
      </c>
      <c r="R6" s="59">
        <f>H6-I6-J6-N6-O6-P6-Q6</f>
        <v/>
      </c>
      <c r="S6" s="59">
        <f>IF(AND(MOD(A6,12)=6,A6&gt;=18),MAX(0,SUMIF($B$2:$B$85,B6-1,$R$2:$R$85))*'Hypothèses'!$C$54,0)</f>
        <v/>
      </c>
      <c r="T6" s="59">
        <f>T5+R6-S6</f>
        <v/>
      </c>
    </row>
    <row r="7">
      <c r="A7" s="59" t="n">
        <v>6</v>
      </c>
      <c r="B7" s="59">
        <f>INT((A7-1)/12)+1</f>
        <v/>
      </c>
      <c r="C7" s="59">
        <f>IF(A7&lt;'Hypothèses'!$C$28,0,MIN('Hypothèses'!$C$29,INT((A7-'Hypothèses'!$C$28)/'Hypothèses'!$C$27)+1))</f>
        <v/>
      </c>
      <c r="D7" s="59">
        <f>C7*'Hypothèses'!$C$26</f>
        <v/>
      </c>
      <c r="E7" s="59">
        <f>IF((A7-'Hypothèses'!$C$11*12)&lt;'Hypothèses'!$C$28,0,MIN('Hypothèses'!$C$29,INT((A7-'Hypothèses'!$C$11*12-'Hypothèses'!$C$28)/'Hypothèses'!$C$27)+1))</f>
        <v/>
      </c>
      <c r="F7" s="59">
        <f>(C7-E7)*'Hypothèses'!$C$26</f>
        <v/>
      </c>
      <c r="G7" s="59">
        <f>'Hypothèses'!$C$20*(1+'Hypothèses'!$C$21)^(B7-1)</f>
        <v/>
      </c>
      <c r="H7" s="59">
        <f>D7*'Hypothèses'!$C$19*(365/12)*G7*'Hypothèses'!$C$22</f>
        <v/>
      </c>
      <c r="I7" s="59">
        <f>D7*'Hypothèses'!$C$14</f>
        <v/>
      </c>
      <c r="J7" s="59">
        <f>F7*'Hypothèses'!$C$12</f>
        <v/>
      </c>
      <c r="K7" s="59">
        <f>MAX(1,ROUNDUP(D7/'Hypothèses'!$C$40,0))</f>
        <v/>
      </c>
      <c r="L7" s="59">
        <f>MIN('Hypothèses'!$C$35*(1+'Hypothèses'!$C$36)^(B7-1),'Hypothèses'!$C$37)</f>
        <v/>
      </c>
      <c r="M7" s="59">
        <f>'Hypothèses'!$C$38*(1+'Hypothèses'!$C$39)^(B7-1)</f>
        <v/>
      </c>
      <c r="N7" s="59">
        <f>('Hypothèses'!$C$34*L7+K7*M7)*(1+'Hypothèses'!$C$41)</f>
        <v/>
      </c>
      <c r="O7" s="59">
        <f>'Hypothèses'!$C$42*(1+'Hypothèses'!$C$43)^(B7-1)</f>
        <v/>
      </c>
      <c r="P7" s="59">
        <f>'Hypothèses'!$C$44*(1+'Hypothèses'!$C$45)^(B7-1)</f>
        <v/>
      </c>
      <c r="Q7" s="59">
        <f>IF(A7&lt;='Hypothèses'!$C$50,'Hypothèses'!$C$51,0)</f>
        <v/>
      </c>
      <c r="R7" s="59">
        <f>H7-I7-J7-N7-O7-P7-Q7</f>
        <v/>
      </c>
      <c r="S7" s="59">
        <f>IF(AND(MOD(A7,12)=6,A7&gt;=18),MAX(0,SUMIF($B$2:$B$85,B7-1,$R$2:$R$85))*'Hypothèses'!$C$54,0)</f>
        <v/>
      </c>
      <c r="T7" s="59">
        <f>T6+R7-S7</f>
        <v/>
      </c>
    </row>
    <row r="8">
      <c r="A8" s="59" t="n">
        <v>7</v>
      </c>
      <c r="B8" s="59">
        <f>INT((A8-1)/12)+1</f>
        <v/>
      </c>
      <c r="C8" s="59">
        <f>IF(A8&lt;'Hypothèses'!$C$28,0,MIN('Hypothèses'!$C$29,INT((A8-'Hypothèses'!$C$28)/'Hypothèses'!$C$27)+1))</f>
        <v/>
      </c>
      <c r="D8" s="59">
        <f>C8*'Hypothèses'!$C$26</f>
        <v/>
      </c>
      <c r="E8" s="59">
        <f>IF((A8-'Hypothèses'!$C$11*12)&lt;'Hypothèses'!$C$28,0,MIN('Hypothèses'!$C$29,INT((A8-'Hypothèses'!$C$11*12-'Hypothèses'!$C$28)/'Hypothèses'!$C$27)+1))</f>
        <v/>
      </c>
      <c r="F8" s="59">
        <f>(C8-E8)*'Hypothèses'!$C$26</f>
        <v/>
      </c>
      <c r="G8" s="59">
        <f>'Hypothèses'!$C$20*(1+'Hypothèses'!$C$21)^(B8-1)</f>
        <v/>
      </c>
      <c r="H8" s="59">
        <f>D8*'Hypothèses'!$C$19*(365/12)*G8*'Hypothèses'!$C$22</f>
        <v/>
      </c>
      <c r="I8" s="59">
        <f>D8*'Hypothèses'!$C$14</f>
        <v/>
      </c>
      <c r="J8" s="59">
        <f>F8*'Hypothèses'!$C$12</f>
        <v/>
      </c>
      <c r="K8" s="59">
        <f>MAX(1,ROUNDUP(D8/'Hypothèses'!$C$40,0))</f>
        <v/>
      </c>
      <c r="L8" s="59">
        <f>MIN('Hypothèses'!$C$35*(1+'Hypothèses'!$C$36)^(B8-1),'Hypothèses'!$C$37)</f>
        <v/>
      </c>
      <c r="M8" s="59">
        <f>'Hypothèses'!$C$38*(1+'Hypothèses'!$C$39)^(B8-1)</f>
        <v/>
      </c>
      <c r="N8" s="59">
        <f>('Hypothèses'!$C$34*L8+K8*M8)*(1+'Hypothèses'!$C$41)</f>
        <v/>
      </c>
      <c r="O8" s="59">
        <f>'Hypothèses'!$C$42*(1+'Hypothèses'!$C$43)^(B8-1)</f>
        <v/>
      </c>
      <c r="P8" s="59">
        <f>'Hypothèses'!$C$44*(1+'Hypothèses'!$C$45)^(B8-1)</f>
        <v/>
      </c>
      <c r="Q8" s="59">
        <f>IF(A8&lt;='Hypothèses'!$C$50,'Hypothèses'!$C$51,0)</f>
        <v/>
      </c>
      <c r="R8" s="59">
        <f>H8-I8-J8-N8-O8-P8-Q8</f>
        <v/>
      </c>
      <c r="S8" s="59">
        <f>IF(AND(MOD(A8,12)=6,A8&gt;=18),MAX(0,SUMIF($B$2:$B$85,B8-1,$R$2:$R$85))*'Hypothèses'!$C$54,0)</f>
        <v/>
      </c>
      <c r="T8" s="59">
        <f>T7+R8-S8</f>
        <v/>
      </c>
    </row>
    <row r="9">
      <c r="A9" s="59" t="n">
        <v>8</v>
      </c>
      <c r="B9" s="59">
        <f>INT((A9-1)/12)+1</f>
        <v/>
      </c>
      <c r="C9" s="59">
        <f>IF(A9&lt;'Hypothèses'!$C$28,0,MIN('Hypothèses'!$C$29,INT((A9-'Hypothèses'!$C$28)/'Hypothèses'!$C$27)+1))</f>
        <v/>
      </c>
      <c r="D9" s="59">
        <f>C9*'Hypothèses'!$C$26</f>
        <v/>
      </c>
      <c r="E9" s="59">
        <f>IF((A9-'Hypothèses'!$C$11*12)&lt;'Hypothèses'!$C$28,0,MIN('Hypothèses'!$C$29,INT((A9-'Hypothèses'!$C$11*12-'Hypothèses'!$C$28)/'Hypothèses'!$C$27)+1))</f>
        <v/>
      </c>
      <c r="F9" s="59">
        <f>(C9-E9)*'Hypothèses'!$C$26</f>
        <v/>
      </c>
      <c r="G9" s="59">
        <f>'Hypothèses'!$C$20*(1+'Hypothèses'!$C$21)^(B9-1)</f>
        <v/>
      </c>
      <c r="H9" s="59">
        <f>D9*'Hypothèses'!$C$19*(365/12)*G9*'Hypothèses'!$C$22</f>
        <v/>
      </c>
      <c r="I9" s="59">
        <f>D9*'Hypothèses'!$C$14</f>
        <v/>
      </c>
      <c r="J9" s="59">
        <f>F9*'Hypothèses'!$C$12</f>
        <v/>
      </c>
      <c r="K9" s="59">
        <f>MAX(1,ROUNDUP(D9/'Hypothèses'!$C$40,0))</f>
        <v/>
      </c>
      <c r="L9" s="59">
        <f>MIN('Hypothèses'!$C$35*(1+'Hypothèses'!$C$36)^(B9-1),'Hypothèses'!$C$37)</f>
        <v/>
      </c>
      <c r="M9" s="59">
        <f>'Hypothèses'!$C$38*(1+'Hypothèses'!$C$39)^(B9-1)</f>
        <v/>
      </c>
      <c r="N9" s="59">
        <f>('Hypothèses'!$C$34*L9+K9*M9)*(1+'Hypothèses'!$C$41)</f>
        <v/>
      </c>
      <c r="O9" s="59">
        <f>'Hypothèses'!$C$42*(1+'Hypothèses'!$C$43)^(B9-1)</f>
        <v/>
      </c>
      <c r="P9" s="59">
        <f>'Hypothèses'!$C$44*(1+'Hypothèses'!$C$45)^(B9-1)</f>
        <v/>
      </c>
      <c r="Q9" s="59">
        <f>IF(A9&lt;='Hypothèses'!$C$50,'Hypothèses'!$C$51,0)</f>
        <v/>
      </c>
      <c r="R9" s="59">
        <f>H9-I9-J9-N9-O9-P9-Q9</f>
        <v/>
      </c>
      <c r="S9" s="59">
        <f>IF(AND(MOD(A9,12)=6,A9&gt;=18),MAX(0,SUMIF($B$2:$B$85,B9-1,$R$2:$R$85))*'Hypothèses'!$C$54,0)</f>
        <v/>
      </c>
      <c r="T9" s="59">
        <f>T8+R9-S9</f>
        <v/>
      </c>
    </row>
    <row r="10">
      <c r="A10" s="59" t="n">
        <v>9</v>
      </c>
      <c r="B10" s="59">
        <f>INT((A10-1)/12)+1</f>
        <v/>
      </c>
      <c r="C10" s="59">
        <f>IF(A10&lt;'Hypothèses'!$C$28,0,MIN('Hypothèses'!$C$29,INT((A10-'Hypothèses'!$C$28)/'Hypothèses'!$C$27)+1))</f>
        <v/>
      </c>
      <c r="D10" s="59">
        <f>C10*'Hypothèses'!$C$26</f>
        <v/>
      </c>
      <c r="E10" s="59">
        <f>IF((A10-'Hypothèses'!$C$11*12)&lt;'Hypothèses'!$C$28,0,MIN('Hypothèses'!$C$29,INT((A10-'Hypothèses'!$C$11*12-'Hypothèses'!$C$28)/'Hypothèses'!$C$27)+1))</f>
        <v/>
      </c>
      <c r="F10" s="59">
        <f>(C10-E10)*'Hypothèses'!$C$26</f>
        <v/>
      </c>
      <c r="G10" s="59">
        <f>'Hypothèses'!$C$20*(1+'Hypothèses'!$C$21)^(B10-1)</f>
        <v/>
      </c>
      <c r="H10" s="59">
        <f>D10*'Hypothèses'!$C$19*(365/12)*G10*'Hypothèses'!$C$22</f>
        <v/>
      </c>
      <c r="I10" s="59">
        <f>D10*'Hypothèses'!$C$14</f>
        <v/>
      </c>
      <c r="J10" s="59">
        <f>F10*'Hypothèses'!$C$12</f>
        <v/>
      </c>
      <c r="K10" s="59">
        <f>MAX(1,ROUNDUP(D10/'Hypothèses'!$C$40,0))</f>
        <v/>
      </c>
      <c r="L10" s="59">
        <f>MIN('Hypothèses'!$C$35*(1+'Hypothèses'!$C$36)^(B10-1),'Hypothèses'!$C$37)</f>
        <v/>
      </c>
      <c r="M10" s="59">
        <f>'Hypothèses'!$C$38*(1+'Hypothèses'!$C$39)^(B10-1)</f>
        <v/>
      </c>
      <c r="N10" s="59">
        <f>('Hypothèses'!$C$34*L10+K10*M10)*(1+'Hypothèses'!$C$41)</f>
        <v/>
      </c>
      <c r="O10" s="59">
        <f>'Hypothèses'!$C$42*(1+'Hypothèses'!$C$43)^(B10-1)</f>
        <v/>
      </c>
      <c r="P10" s="59">
        <f>'Hypothèses'!$C$44*(1+'Hypothèses'!$C$45)^(B10-1)</f>
        <v/>
      </c>
      <c r="Q10" s="59">
        <f>IF(A10&lt;='Hypothèses'!$C$50,'Hypothèses'!$C$51,0)</f>
        <v/>
      </c>
      <c r="R10" s="59">
        <f>H10-I10-J10-N10-O10-P10-Q10</f>
        <v/>
      </c>
      <c r="S10" s="59">
        <f>IF(AND(MOD(A10,12)=6,A10&gt;=18),MAX(0,SUMIF($B$2:$B$85,B10-1,$R$2:$R$85))*'Hypothèses'!$C$54,0)</f>
        <v/>
      </c>
      <c r="T10" s="59">
        <f>T9+R10-S10</f>
        <v/>
      </c>
    </row>
    <row r="11">
      <c r="A11" s="59" t="n">
        <v>10</v>
      </c>
      <c r="B11" s="59">
        <f>INT((A11-1)/12)+1</f>
        <v/>
      </c>
      <c r="C11" s="59">
        <f>IF(A11&lt;'Hypothèses'!$C$28,0,MIN('Hypothèses'!$C$29,INT((A11-'Hypothèses'!$C$28)/'Hypothèses'!$C$27)+1))</f>
        <v/>
      </c>
      <c r="D11" s="59">
        <f>C11*'Hypothèses'!$C$26</f>
        <v/>
      </c>
      <c r="E11" s="59">
        <f>IF((A11-'Hypothèses'!$C$11*12)&lt;'Hypothèses'!$C$28,0,MIN('Hypothèses'!$C$29,INT((A11-'Hypothèses'!$C$11*12-'Hypothèses'!$C$28)/'Hypothèses'!$C$27)+1))</f>
        <v/>
      </c>
      <c r="F11" s="59">
        <f>(C11-E11)*'Hypothèses'!$C$26</f>
        <v/>
      </c>
      <c r="G11" s="59">
        <f>'Hypothèses'!$C$20*(1+'Hypothèses'!$C$21)^(B11-1)</f>
        <v/>
      </c>
      <c r="H11" s="59">
        <f>D11*'Hypothèses'!$C$19*(365/12)*G11*'Hypothèses'!$C$22</f>
        <v/>
      </c>
      <c r="I11" s="59">
        <f>D11*'Hypothèses'!$C$14</f>
        <v/>
      </c>
      <c r="J11" s="59">
        <f>F11*'Hypothèses'!$C$12</f>
        <v/>
      </c>
      <c r="K11" s="59">
        <f>MAX(1,ROUNDUP(D11/'Hypothèses'!$C$40,0))</f>
        <v/>
      </c>
      <c r="L11" s="59">
        <f>MIN('Hypothèses'!$C$35*(1+'Hypothèses'!$C$36)^(B11-1),'Hypothèses'!$C$37)</f>
        <v/>
      </c>
      <c r="M11" s="59">
        <f>'Hypothèses'!$C$38*(1+'Hypothèses'!$C$39)^(B11-1)</f>
        <v/>
      </c>
      <c r="N11" s="59">
        <f>('Hypothèses'!$C$34*L11+K11*M11)*(1+'Hypothèses'!$C$41)</f>
        <v/>
      </c>
      <c r="O11" s="59">
        <f>'Hypothèses'!$C$42*(1+'Hypothèses'!$C$43)^(B11-1)</f>
        <v/>
      </c>
      <c r="P11" s="59">
        <f>'Hypothèses'!$C$44*(1+'Hypothèses'!$C$45)^(B11-1)</f>
        <v/>
      </c>
      <c r="Q11" s="59">
        <f>IF(A11&lt;='Hypothèses'!$C$50,'Hypothèses'!$C$51,0)</f>
        <v/>
      </c>
      <c r="R11" s="59">
        <f>H11-I11-J11-N11-O11-P11-Q11</f>
        <v/>
      </c>
      <c r="S11" s="59">
        <f>IF(AND(MOD(A11,12)=6,A11&gt;=18),MAX(0,SUMIF($B$2:$B$85,B11-1,$R$2:$R$85))*'Hypothèses'!$C$54,0)</f>
        <v/>
      </c>
      <c r="T11" s="59">
        <f>T10+R11-S11</f>
        <v/>
      </c>
    </row>
    <row r="12">
      <c r="A12" s="59" t="n">
        <v>11</v>
      </c>
      <c r="B12" s="59">
        <f>INT((A12-1)/12)+1</f>
        <v/>
      </c>
      <c r="C12" s="59">
        <f>IF(A12&lt;'Hypothèses'!$C$28,0,MIN('Hypothèses'!$C$29,INT((A12-'Hypothèses'!$C$28)/'Hypothèses'!$C$27)+1))</f>
        <v/>
      </c>
      <c r="D12" s="59">
        <f>C12*'Hypothèses'!$C$26</f>
        <v/>
      </c>
      <c r="E12" s="59">
        <f>IF((A12-'Hypothèses'!$C$11*12)&lt;'Hypothèses'!$C$28,0,MIN('Hypothèses'!$C$29,INT((A12-'Hypothèses'!$C$11*12-'Hypothèses'!$C$28)/'Hypothèses'!$C$27)+1))</f>
        <v/>
      </c>
      <c r="F12" s="59">
        <f>(C12-E12)*'Hypothèses'!$C$26</f>
        <v/>
      </c>
      <c r="G12" s="59">
        <f>'Hypothèses'!$C$20*(1+'Hypothèses'!$C$21)^(B12-1)</f>
        <v/>
      </c>
      <c r="H12" s="59">
        <f>D12*'Hypothèses'!$C$19*(365/12)*G12*'Hypothèses'!$C$22</f>
        <v/>
      </c>
      <c r="I12" s="59">
        <f>D12*'Hypothèses'!$C$14</f>
        <v/>
      </c>
      <c r="J12" s="59">
        <f>F12*'Hypothèses'!$C$12</f>
        <v/>
      </c>
      <c r="K12" s="59">
        <f>MAX(1,ROUNDUP(D12/'Hypothèses'!$C$40,0))</f>
        <v/>
      </c>
      <c r="L12" s="59">
        <f>MIN('Hypothèses'!$C$35*(1+'Hypothèses'!$C$36)^(B12-1),'Hypothèses'!$C$37)</f>
        <v/>
      </c>
      <c r="M12" s="59">
        <f>'Hypothèses'!$C$38*(1+'Hypothèses'!$C$39)^(B12-1)</f>
        <v/>
      </c>
      <c r="N12" s="59">
        <f>('Hypothèses'!$C$34*L12+K12*M12)*(1+'Hypothèses'!$C$41)</f>
        <v/>
      </c>
      <c r="O12" s="59">
        <f>'Hypothèses'!$C$42*(1+'Hypothèses'!$C$43)^(B12-1)</f>
        <v/>
      </c>
      <c r="P12" s="59">
        <f>'Hypothèses'!$C$44*(1+'Hypothèses'!$C$45)^(B12-1)</f>
        <v/>
      </c>
      <c r="Q12" s="59">
        <f>IF(A12&lt;='Hypothèses'!$C$50,'Hypothèses'!$C$51,0)</f>
        <v/>
      </c>
      <c r="R12" s="59">
        <f>H12-I12-J12-N12-O12-P12-Q12</f>
        <v/>
      </c>
      <c r="S12" s="59">
        <f>IF(AND(MOD(A12,12)=6,A12&gt;=18),MAX(0,SUMIF($B$2:$B$85,B12-1,$R$2:$R$85))*'Hypothèses'!$C$54,0)</f>
        <v/>
      </c>
      <c r="T12" s="59">
        <f>T11+R12-S12</f>
        <v/>
      </c>
    </row>
    <row r="13">
      <c r="A13" s="59" t="n">
        <v>12</v>
      </c>
      <c r="B13" s="59">
        <f>INT((A13-1)/12)+1</f>
        <v/>
      </c>
      <c r="C13" s="59">
        <f>IF(A13&lt;'Hypothèses'!$C$28,0,MIN('Hypothèses'!$C$29,INT((A13-'Hypothèses'!$C$28)/'Hypothèses'!$C$27)+1))</f>
        <v/>
      </c>
      <c r="D13" s="59">
        <f>C13*'Hypothèses'!$C$26</f>
        <v/>
      </c>
      <c r="E13" s="59">
        <f>IF((A13-'Hypothèses'!$C$11*12)&lt;'Hypothèses'!$C$28,0,MIN('Hypothèses'!$C$29,INT((A13-'Hypothèses'!$C$11*12-'Hypothèses'!$C$28)/'Hypothèses'!$C$27)+1))</f>
        <v/>
      </c>
      <c r="F13" s="59">
        <f>(C13-E13)*'Hypothèses'!$C$26</f>
        <v/>
      </c>
      <c r="G13" s="59">
        <f>'Hypothèses'!$C$20*(1+'Hypothèses'!$C$21)^(B13-1)</f>
        <v/>
      </c>
      <c r="H13" s="59">
        <f>D13*'Hypothèses'!$C$19*(365/12)*G13*'Hypothèses'!$C$22</f>
        <v/>
      </c>
      <c r="I13" s="59">
        <f>D13*'Hypothèses'!$C$14</f>
        <v/>
      </c>
      <c r="J13" s="59">
        <f>F13*'Hypothèses'!$C$12</f>
        <v/>
      </c>
      <c r="K13" s="59">
        <f>MAX(1,ROUNDUP(D13/'Hypothèses'!$C$40,0))</f>
        <v/>
      </c>
      <c r="L13" s="59">
        <f>MIN('Hypothèses'!$C$35*(1+'Hypothèses'!$C$36)^(B13-1),'Hypothèses'!$C$37)</f>
        <v/>
      </c>
      <c r="M13" s="59">
        <f>'Hypothèses'!$C$38*(1+'Hypothèses'!$C$39)^(B13-1)</f>
        <v/>
      </c>
      <c r="N13" s="59">
        <f>('Hypothèses'!$C$34*L13+K13*M13)*(1+'Hypothèses'!$C$41)</f>
        <v/>
      </c>
      <c r="O13" s="59">
        <f>'Hypothèses'!$C$42*(1+'Hypothèses'!$C$43)^(B13-1)</f>
        <v/>
      </c>
      <c r="P13" s="59">
        <f>'Hypothèses'!$C$44*(1+'Hypothèses'!$C$45)^(B13-1)</f>
        <v/>
      </c>
      <c r="Q13" s="59">
        <f>IF(A13&lt;='Hypothèses'!$C$50,'Hypothèses'!$C$51,0)</f>
        <v/>
      </c>
      <c r="R13" s="59">
        <f>H13-I13-J13-N13-O13-P13-Q13</f>
        <v/>
      </c>
      <c r="S13" s="59">
        <f>IF(AND(MOD(A13,12)=6,A13&gt;=18),MAX(0,SUMIF($B$2:$B$85,B13-1,$R$2:$R$85))*'Hypothèses'!$C$54,0)</f>
        <v/>
      </c>
      <c r="T13" s="59">
        <f>T12+R13-S13</f>
        <v/>
      </c>
    </row>
    <row r="14">
      <c r="A14" s="59" t="n">
        <v>13</v>
      </c>
      <c r="B14" s="59">
        <f>INT((A14-1)/12)+1</f>
        <v/>
      </c>
      <c r="C14" s="59">
        <f>IF(A14&lt;'Hypothèses'!$C$28,0,MIN('Hypothèses'!$C$29,INT((A14-'Hypothèses'!$C$28)/'Hypothèses'!$C$27)+1))</f>
        <v/>
      </c>
      <c r="D14" s="59">
        <f>C14*'Hypothèses'!$C$26</f>
        <v/>
      </c>
      <c r="E14" s="59">
        <f>IF((A14-'Hypothèses'!$C$11*12)&lt;'Hypothèses'!$C$28,0,MIN('Hypothèses'!$C$29,INT((A14-'Hypothèses'!$C$11*12-'Hypothèses'!$C$28)/'Hypothèses'!$C$27)+1))</f>
        <v/>
      </c>
      <c r="F14" s="59">
        <f>(C14-E14)*'Hypothèses'!$C$26</f>
        <v/>
      </c>
      <c r="G14" s="59">
        <f>'Hypothèses'!$C$20*(1+'Hypothèses'!$C$21)^(B14-1)</f>
        <v/>
      </c>
      <c r="H14" s="59">
        <f>D14*'Hypothèses'!$C$19*(365/12)*G14*'Hypothèses'!$C$22</f>
        <v/>
      </c>
      <c r="I14" s="59">
        <f>D14*'Hypothèses'!$C$14</f>
        <v/>
      </c>
      <c r="J14" s="59">
        <f>F14*'Hypothèses'!$C$12</f>
        <v/>
      </c>
      <c r="K14" s="59">
        <f>MAX(1,ROUNDUP(D14/'Hypothèses'!$C$40,0))</f>
        <v/>
      </c>
      <c r="L14" s="59">
        <f>MIN('Hypothèses'!$C$35*(1+'Hypothèses'!$C$36)^(B14-1),'Hypothèses'!$C$37)</f>
        <v/>
      </c>
      <c r="M14" s="59">
        <f>'Hypothèses'!$C$38*(1+'Hypothèses'!$C$39)^(B14-1)</f>
        <v/>
      </c>
      <c r="N14" s="59">
        <f>('Hypothèses'!$C$34*L14+K14*M14)*(1+'Hypothèses'!$C$41)</f>
        <v/>
      </c>
      <c r="O14" s="59">
        <f>'Hypothèses'!$C$42*(1+'Hypothèses'!$C$43)^(B14-1)</f>
        <v/>
      </c>
      <c r="P14" s="59">
        <f>'Hypothèses'!$C$44*(1+'Hypothèses'!$C$45)^(B14-1)</f>
        <v/>
      </c>
      <c r="Q14" s="59">
        <f>IF(A14&lt;='Hypothèses'!$C$50,'Hypothèses'!$C$51,0)</f>
        <v/>
      </c>
      <c r="R14" s="59">
        <f>H14-I14-J14-N14-O14-P14-Q14</f>
        <v/>
      </c>
      <c r="S14" s="59">
        <f>IF(AND(MOD(A14,12)=6,A14&gt;=18),MAX(0,SUMIF($B$2:$B$85,B14-1,$R$2:$R$85))*'Hypothèses'!$C$54,0)</f>
        <v/>
      </c>
      <c r="T14" s="59">
        <f>T13+R14-S14</f>
        <v/>
      </c>
    </row>
    <row r="15">
      <c r="A15" s="59" t="n">
        <v>14</v>
      </c>
      <c r="B15" s="59">
        <f>INT((A15-1)/12)+1</f>
        <v/>
      </c>
      <c r="C15" s="59">
        <f>IF(A15&lt;'Hypothèses'!$C$28,0,MIN('Hypothèses'!$C$29,INT((A15-'Hypothèses'!$C$28)/'Hypothèses'!$C$27)+1))</f>
        <v/>
      </c>
      <c r="D15" s="59">
        <f>C15*'Hypothèses'!$C$26</f>
        <v/>
      </c>
      <c r="E15" s="59">
        <f>IF((A15-'Hypothèses'!$C$11*12)&lt;'Hypothèses'!$C$28,0,MIN('Hypothèses'!$C$29,INT((A15-'Hypothèses'!$C$11*12-'Hypothèses'!$C$28)/'Hypothèses'!$C$27)+1))</f>
        <v/>
      </c>
      <c r="F15" s="59">
        <f>(C15-E15)*'Hypothèses'!$C$26</f>
        <v/>
      </c>
      <c r="G15" s="59">
        <f>'Hypothèses'!$C$20*(1+'Hypothèses'!$C$21)^(B15-1)</f>
        <v/>
      </c>
      <c r="H15" s="59">
        <f>D15*'Hypothèses'!$C$19*(365/12)*G15*'Hypothèses'!$C$22</f>
        <v/>
      </c>
      <c r="I15" s="59">
        <f>D15*'Hypothèses'!$C$14</f>
        <v/>
      </c>
      <c r="J15" s="59">
        <f>F15*'Hypothèses'!$C$12</f>
        <v/>
      </c>
      <c r="K15" s="59">
        <f>MAX(1,ROUNDUP(D15/'Hypothèses'!$C$40,0))</f>
        <v/>
      </c>
      <c r="L15" s="59">
        <f>MIN('Hypothèses'!$C$35*(1+'Hypothèses'!$C$36)^(B15-1),'Hypothèses'!$C$37)</f>
        <v/>
      </c>
      <c r="M15" s="59">
        <f>'Hypothèses'!$C$38*(1+'Hypothèses'!$C$39)^(B15-1)</f>
        <v/>
      </c>
      <c r="N15" s="59">
        <f>('Hypothèses'!$C$34*L15+K15*M15)*(1+'Hypothèses'!$C$41)</f>
        <v/>
      </c>
      <c r="O15" s="59">
        <f>'Hypothèses'!$C$42*(1+'Hypothèses'!$C$43)^(B15-1)</f>
        <v/>
      </c>
      <c r="P15" s="59">
        <f>'Hypothèses'!$C$44*(1+'Hypothèses'!$C$45)^(B15-1)</f>
        <v/>
      </c>
      <c r="Q15" s="59">
        <f>IF(A15&lt;='Hypothèses'!$C$50,'Hypothèses'!$C$51,0)</f>
        <v/>
      </c>
      <c r="R15" s="59">
        <f>H15-I15-J15-N15-O15-P15-Q15</f>
        <v/>
      </c>
      <c r="S15" s="59">
        <f>IF(AND(MOD(A15,12)=6,A15&gt;=18),MAX(0,SUMIF($B$2:$B$85,B15-1,$R$2:$R$85))*'Hypothèses'!$C$54,0)</f>
        <v/>
      </c>
      <c r="T15" s="59">
        <f>T14+R15-S15</f>
        <v/>
      </c>
    </row>
    <row r="16">
      <c r="A16" s="59" t="n">
        <v>15</v>
      </c>
      <c r="B16" s="59">
        <f>INT((A16-1)/12)+1</f>
        <v/>
      </c>
      <c r="C16" s="59">
        <f>IF(A16&lt;'Hypothèses'!$C$28,0,MIN('Hypothèses'!$C$29,INT((A16-'Hypothèses'!$C$28)/'Hypothèses'!$C$27)+1))</f>
        <v/>
      </c>
      <c r="D16" s="59">
        <f>C16*'Hypothèses'!$C$26</f>
        <v/>
      </c>
      <c r="E16" s="59">
        <f>IF((A16-'Hypothèses'!$C$11*12)&lt;'Hypothèses'!$C$28,0,MIN('Hypothèses'!$C$29,INT((A16-'Hypothèses'!$C$11*12-'Hypothèses'!$C$28)/'Hypothèses'!$C$27)+1))</f>
        <v/>
      </c>
      <c r="F16" s="59">
        <f>(C16-E16)*'Hypothèses'!$C$26</f>
        <v/>
      </c>
      <c r="G16" s="59">
        <f>'Hypothèses'!$C$20*(1+'Hypothèses'!$C$21)^(B16-1)</f>
        <v/>
      </c>
      <c r="H16" s="59">
        <f>D16*'Hypothèses'!$C$19*(365/12)*G16*'Hypothèses'!$C$22</f>
        <v/>
      </c>
      <c r="I16" s="59">
        <f>D16*'Hypothèses'!$C$14</f>
        <v/>
      </c>
      <c r="J16" s="59">
        <f>F16*'Hypothèses'!$C$12</f>
        <v/>
      </c>
      <c r="K16" s="59">
        <f>MAX(1,ROUNDUP(D16/'Hypothèses'!$C$40,0))</f>
        <v/>
      </c>
      <c r="L16" s="59">
        <f>MIN('Hypothèses'!$C$35*(1+'Hypothèses'!$C$36)^(B16-1),'Hypothèses'!$C$37)</f>
        <v/>
      </c>
      <c r="M16" s="59">
        <f>'Hypothèses'!$C$38*(1+'Hypothèses'!$C$39)^(B16-1)</f>
        <v/>
      </c>
      <c r="N16" s="59">
        <f>('Hypothèses'!$C$34*L16+K16*M16)*(1+'Hypothèses'!$C$41)</f>
        <v/>
      </c>
      <c r="O16" s="59">
        <f>'Hypothèses'!$C$42*(1+'Hypothèses'!$C$43)^(B16-1)</f>
        <v/>
      </c>
      <c r="P16" s="59">
        <f>'Hypothèses'!$C$44*(1+'Hypothèses'!$C$45)^(B16-1)</f>
        <v/>
      </c>
      <c r="Q16" s="59">
        <f>IF(A16&lt;='Hypothèses'!$C$50,'Hypothèses'!$C$51,0)</f>
        <v/>
      </c>
      <c r="R16" s="59">
        <f>H16-I16-J16-N16-O16-P16-Q16</f>
        <v/>
      </c>
      <c r="S16" s="59">
        <f>IF(AND(MOD(A16,12)=6,A16&gt;=18),MAX(0,SUMIF($B$2:$B$85,B16-1,$R$2:$R$85))*'Hypothèses'!$C$54,0)</f>
        <v/>
      </c>
      <c r="T16" s="59">
        <f>T15+R16-S16</f>
        <v/>
      </c>
    </row>
    <row r="17">
      <c r="A17" s="59" t="n">
        <v>16</v>
      </c>
      <c r="B17" s="59">
        <f>INT((A17-1)/12)+1</f>
        <v/>
      </c>
      <c r="C17" s="59">
        <f>IF(A17&lt;'Hypothèses'!$C$28,0,MIN('Hypothèses'!$C$29,INT((A17-'Hypothèses'!$C$28)/'Hypothèses'!$C$27)+1))</f>
        <v/>
      </c>
      <c r="D17" s="59">
        <f>C17*'Hypothèses'!$C$26</f>
        <v/>
      </c>
      <c r="E17" s="59">
        <f>IF((A17-'Hypothèses'!$C$11*12)&lt;'Hypothèses'!$C$28,0,MIN('Hypothèses'!$C$29,INT((A17-'Hypothèses'!$C$11*12-'Hypothèses'!$C$28)/'Hypothèses'!$C$27)+1))</f>
        <v/>
      </c>
      <c r="F17" s="59">
        <f>(C17-E17)*'Hypothèses'!$C$26</f>
        <v/>
      </c>
      <c r="G17" s="59">
        <f>'Hypothèses'!$C$20*(1+'Hypothèses'!$C$21)^(B17-1)</f>
        <v/>
      </c>
      <c r="H17" s="59">
        <f>D17*'Hypothèses'!$C$19*(365/12)*G17*'Hypothèses'!$C$22</f>
        <v/>
      </c>
      <c r="I17" s="59">
        <f>D17*'Hypothèses'!$C$14</f>
        <v/>
      </c>
      <c r="J17" s="59">
        <f>F17*'Hypothèses'!$C$12</f>
        <v/>
      </c>
      <c r="K17" s="59">
        <f>MAX(1,ROUNDUP(D17/'Hypothèses'!$C$40,0))</f>
        <v/>
      </c>
      <c r="L17" s="59">
        <f>MIN('Hypothèses'!$C$35*(1+'Hypothèses'!$C$36)^(B17-1),'Hypothèses'!$C$37)</f>
        <v/>
      </c>
      <c r="M17" s="59">
        <f>'Hypothèses'!$C$38*(1+'Hypothèses'!$C$39)^(B17-1)</f>
        <v/>
      </c>
      <c r="N17" s="59">
        <f>('Hypothèses'!$C$34*L17+K17*M17)*(1+'Hypothèses'!$C$41)</f>
        <v/>
      </c>
      <c r="O17" s="59">
        <f>'Hypothèses'!$C$42*(1+'Hypothèses'!$C$43)^(B17-1)</f>
        <v/>
      </c>
      <c r="P17" s="59">
        <f>'Hypothèses'!$C$44*(1+'Hypothèses'!$C$45)^(B17-1)</f>
        <v/>
      </c>
      <c r="Q17" s="59">
        <f>IF(A17&lt;='Hypothèses'!$C$50,'Hypothèses'!$C$51,0)</f>
        <v/>
      </c>
      <c r="R17" s="59">
        <f>H17-I17-J17-N17-O17-P17-Q17</f>
        <v/>
      </c>
      <c r="S17" s="59">
        <f>IF(AND(MOD(A17,12)=6,A17&gt;=18),MAX(0,SUMIF($B$2:$B$85,B17-1,$R$2:$R$85))*'Hypothèses'!$C$54,0)</f>
        <v/>
      </c>
      <c r="T17" s="59">
        <f>T16+R17-S17</f>
        <v/>
      </c>
    </row>
    <row r="18">
      <c r="A18" s="59" t="n">
        <v>17</v>
      </c>
      <c r="B18" s="59">
        <f>INT((A18-1)/12)+1</f>
        <v/>
      </c>
      <c r="C18" s="59">
        <f>IF(A18&lt;'Hypothèses'!$C$28,0,MIN('Hypothèses'!$C$29,INT((A18-'Hypothèses'!$C$28)/'Hypothèses'!$C$27)+1))</f>
        <v/>
      </c>
      <c r="D18" s="59">
        <f>C18*'Hypothèses'!$C$26</f>
        <v/>
      </c>
      <c r="E18" s="59">
        <f>IF((A18-'Hypothèses'!$C$11*12)&lt;'Hypothèses'!$C$28,0,MIN('Hypothèses'!$C$29,INT((A18-'Hypothèses'!$C$11*12-'Hypothèses'!$C$28)/'Hypothèses'!$C$27)+1))</f>
        <v/>
      </c>
      <c r="F18" s="59">
        <f>(C18-E18)*'Hypothèses'!$C$26</f>
        <v/>
      </c>
      <c r="G18" s="59">
        <f>'Hypothèses'!$C$20*(1+'Hypothèses'!$C$21)^(B18-1)</f>
        <v/>
      </c>
      <c r="H18" s="59">
        <f>D18*'Hypothèses'!$C$19*(365/12)*G18*'Hypothèses'!$C$22</f>
        <v/>
      </c>
      <c r="I18" s="59">
        <f>D18*'Hypothèses'!$C$14</f>
        <v/>
      </c>
      <c r="J18" s="59">
        <f>F18*'Hypothèses'!$C$12</f>
        <v/>
      </c>
      <c r="K18" s="59">
        <f>MAX(1,ROUNDUP(D18/'Hypothèses'!$C$40,0))</f>
        <v/>
      </c>
      <c r="L18" s="59">
        <f>MIN('Hypothèses'!$C$35*(1+'Hypothèses'!$C$36)^(B18-1),'Hypothèses'!$C$37)</f>
        <v/>
      </c>
      <c r="M18" s="59">
        <f>'Hypothèses'!$C$38*(1+'Hypothèses'!$C$39)^(B18-1)</f>
        <v/>
      </c>
      <c r="N18" s="59">
        <f>('Hypothèses'!$C$34*L18+K18*M18)*(1+'Hypothèses'!$C$41)</f>
        <v/>
      </c>
      <c r="O18" s="59">
        <f>'Hypothèses'!$C$42*(1+'Hypothèses'!$C$43)^(B18-1)</f>
        <v/>
      </c>
      <c r="P18" s="59">
        <f>'Hypothèses'!$C$44*(1+'Hypothèses'!$C$45)^(B18-1)</f>
        <v/>
      </c>
      <c r="Q18" s="59">
        <f>IF(A18&lt;='Hypothèses'!$C$50,'Hypothèses'!$C$51,0)</f>
        <v/>
      </c>
      <c r="R18" s="59">
        <f>H18-I18-J18-N18-O18-P18-Q18</f>
        <v/>
      </c>
      <c r="S18" s="59">
        <f>IF(AND(MOD(A18,12)=6,A18&gt;=18),MAX(0,SUMIF($B$2:$B$85,B18-1,$R$2:$R$85))*'Hypothèses'!$C$54,0)</f>
        <v/>
      </c>
      <c r="T18" s="59">
        <f>T17+R18-S18</f>
        <v/>
      </c>
    </row>
    <row r="19">
      <c r="A19" s="59" t="n">
        <v>18</v>
      </c>
      <c r="B19" s="59">
        <f>INT((A19-1)/12)+1</f>
        <v/>
      </c>
      <c r="C19" s="59">
        <f>IF(A19&lt;'Hypothèses'!$C$28,0,MIN('Hypothèses'!$C$29,INT((A19-'Hypothèses'!$C$28)/'Hypothèses'!$C$27)+1))</f>
        <v/>
      </c>
      <c r="D19" s="59">
        <f>C19*'Hypothèses'!$C$26</f>
        <v/>
      </c>
      <c r="E19" s="59">
        <f>IF((A19-'Hypothèses'!$C$11*12)&lt;'Hypothèses'!$C$28,0,MIN('Hypothèses'!$C$29,INT((A19-'Hypothèses'!$C$11*12-'Hypothèses'!$C$28)/'Hypothèses'!$C$27)+1))</f>
        <v/>
      </c>
      <c r="F19" s="59">
        <f>(C19-E19)*'Hypothèses'!$C$26</f>
        <v/>
      </c>
      <c r="G19" s="59">
        <f>'Hypothèses'!$C$20*(1+'Hypothèses'!$C$21)^(B19-1)</f>
        <v/>
      </c>
      <c r="H19" s="59">
        <f>D19*'Hypothèses'!$C$19*(365/12)*G19*'Hypothèses'!$C$22</f>
        <v/>
      </c>
      <c r="I19" s="59">
        <f>D19*'Hypothèses'!$C$14</f>
        <v/>
      </c>
      <c r="J19" s="59">
        <f>F19*'Hypothèses'!$C$12</f>
        <v/>
      </c>
      <c r="K19" s="59">
        <f>MAX(1,ROUNDUP(D19/'Hypothèses'!$C$40,0))</f>
        <v/>
      </c>
      <c r="L19" s="59">
        <f>MIN('Hypothèses'!$C$35*(1+'Hypothèses'!$C$36)^(B19-1),'Hypothèses'!$C$37)</f>
        <v/>
      </c>
      <c r="M19" s="59">
        <f>'Hypothèses'!$C$38*(1+'Hypothèses'!$C$39)^(B19-1)</f>
        <v/>
      </c>
      <c r="N19" s="59">
        <f>('Hypothèses'!$C$34*L19+K19*M19)*(1+'Hypothèses'!$C$41)</f>
        <v/>
      </c>
      <c r="O19" s="59">
        <f>'Hypothèses'!$C$42*(1+'Hypothèses'!$C$43)^(B19-1)</f>
        <v/>
      </c>
      <c r="P19" s="59">
        <f>'Hypothèses'!$C$44*(1+'Hypothèses'!$C$45)^(B19-1)</f>
        <v/>
      </c>
      <c r="Q19" s="59">
        <f>IF(A19&lt;='Hypothèses'!$C$50,'Hypothèses'!$C$51,0)</f>
        <v/>
      </c>
      <c r="R19" s="59">
        <f>H19-I19-J19-N19-O19-P19-Q19</f>
        <v/>
      </c>
      <c r="S19" s="59">
        <f>IF(AND(MOD(A19,12)=6,A19&gt;=18),MAX(0,SUMIF($B$2:$B$85,B19-1,$R$2:$R$85))*'Hypothèses'!$C$54,0)</f>
        <v/>
      </c>
      <c r="T19" s="59">
        <f>T18+R19-S19</f>
        <v/>
      </c>
    </row>
    <row r="20">
      <c r="A20" s="59" t="n">
        <v>19</v>
      </c>
      <c r="B20" s="59">
        <f>INT((A20-1)/12)+1</f>
        <v/>
      </c>
      <c r="C20" s="59">
        <f>IF(A20&lt;'Hypothèses'!$C$28,0,MIN('Hypothèses'!$C$29,INT((A20-'Hypothèses'!$C$28)/'Hypothèses'!$C$27)+1))</f>
        <v/>
      </c>
      <c r="D20" s="59">
        <f>C20*'Hypothèses'!$C$26</f>
        <v/>
      </c>
      <c r="E20" s="59">
        <f>IF((A20-'Hypothèses'!$C$11*12)&lt;'Hypothèses'!$C$28,0,MIN('Hypothèses'!$C$29,INT((A20-'Hypothèses'!$C$11*12-'Hypothèses'!$C$28)/'Hypothèses'!$C$27)+1))</f>
        <v/>
      </c>
      <c r="F20" s="59">
        <f>(C20-E20)*'Hypothèses'!$C$26</f>
        <v/>
      </c>
      <c r="G20" s="59">
        <f>'Hypothèses'!$C$20*(1+'Hypothèses'!$C$21)^(B20-1)</f>
        <v/>
      </c>
      <c r="H20" s="59">
        <f>D20*'Hypothèses'!$C$19*(365/12)*G20*'Hypothèses'!$C$22</f>
        <v/>
      </c>
      <c r="I20" s="59">
        <f>D20*'Hypothèses'!$C$14</f>
        <v/>
      </c>
      <c r="J20" s="59">
        <f>F20*'Hypothèses'!$C$12</f>
        <v/>
      </c>
      <c r="K20" s="59">
        <f>MAX(1,ROUNDUP(D20/'Hypothèses'!$C$40,0))</f>
        <v/>
      </c>
      <c r="L20" s="59">
        <f>MIN('Hypothèses'!$C$35*(1+'Hypothèses'!$C$36)^(B20-1),'Hypothèses'!$C$37)</f>
        <v/>
      </c>
      <c r="M20" s="59">
        <f>'Hypothèses'!$C$38*(1+'Hypothèses'!$C$39)^(B20-1)</f>
        <v/>
      </c>
      <c r="N20" s="59">
        <f>('Hypothèses'!$C$34*L20+K20*M20)*(1+'Hypothèses'!$C$41)</f>
        <v/>
      </c>
      <c r="O20" s="59">
        <f>'Hypothèses'!$C$42*(1+'Hypothèses'!$C$43)^(B20-1)</f>
        <v/>
      </c>
      <c r="P20" s="59">
        <f>'Hypothèses'!$C$44*(1+'Hypothèses'!$C$45)^(B20-1)</f>
        <v/>
      </c>
      <c r="Q20" s="59">
        <f>IF(A20&lt;='Hypothèses'!$C$50,'Hypothèses'!$C$51,0)</f>
        <v/>
      </c>
      <c r="R20" s="59">
        <f>H20-I20-J20-N20-O20-P20-Q20</f>
        <v/>
      </c>
      <c r="S20" s="59">
        <f>IF(AND(MOD(A20,12)=6,A20&gt;=18),MAX(0,SUMIF($B$2:$B$85,B20-1,$R$2:$R$85))*'Hypothèses'!$C$54,0)</f>
        <v/>
      </c>
      <c r="T20" s="59">
        <f>T19+R20-S20</f>
        <v/>
      </c>
    </row>
    <row r="21">
      <c r="A21" s="59" t="n">
        <v>20</v>
      </c>
      <c r="B21" s="59">
        <f>INT((A21-1)/12)+1</f>
        <v/>
      </c>
      <c r="C21" s="59">
        <f>IF(A21&lt;'Hypothèses'!$C$28,0,MIN('Hypothèses'!$C$29,INT((A21-'Hypothèses'!$C$28)/'Hypothèses'!$C$27)+1))</f>
        <v/>
      </c>
      <c r="D21" s="59">
        <f>C21*'Hypothèses'!$C$26</f>
        <v/>
      </c>
      <c r="E21" s="59">
        <f>IF((A21-'Hypothèses'!$C$11*12)&lt;'Hypothèses'!$C$28,0,MIN('Hypothèses'!$C$29,INT((A21-'Hypothèses'!$C$11*12-'Hypothèses'!$C$28)/'Hypothèses'!$C$27)+1))</f>
        <v/>
      </c>
      <c r="F21" s="59">
        <f>(C21-E21)*'Hypothèses'!$C$26</f>
        <v/>
      </c>
      <c r="G21" s="59">
        <f>'Hypothèses'!$C$20*(1+'Hypothèses'!$C$21)^(B21-1)</f>
        <v/>
      </c>
      <c r="H21" s="59">
        <f>D21*'Hypothèses'!$C$19*(365/12)*G21*'Hypothèses'!$C$22</f>
        <v/>
      </c>
      <c r="I21" s="59">
        <f>D21*'Hypothèses'!$C$14</f>
        <v/>
      </c>
      <c r="J21" s="59">
        <f>F21*'Hypothèses'!$C$12</f>
        <v/>
      </c>
      <c r="K21" s="59">
        <f>MAX(1,ROUNDUP(D21/'Hypothèses'!$C$40,0))</f>
        <v/>
      </c>
      <c r="L21" s="59">
        <f>MIN('Hypothèses'!$C$35*(1+'Hypothèses'!$C$36)^(B21-1),'Hypothèses'!$C$37)</f>
        <v/>
      </c>
      <c r="M21" s="59">
        <f>'Hypothèses'!$C$38*(1+'Hypothèses'!$C$39)^(B21-1)</f>
        <v/>
      </c>
      <c r="N21" s="59">
        <f>('Hypothèses'!$C$34*L21+K21*M21)*(1+'Hypothèses'!$C$41)</f>
        <v/>
      </c>
      <c r="O21" s="59">
        <f>'Hypothèses'!$C$42*(1+'Hypothèses'!$C$43)^(B21-1)</f>
        <v/>
      </c>
      <c r="P21" s="59">
        <f>'Hypothèses'!$C$44*(1+'Hypothèses'!$C$45)^(B21-1)</f>
        <v/>
      </c>
      <c r="Q21" s="59">
        <f>IF(A21&lt;='Hypothèses'!$C$50,'Hypothèses'!$C$51,0)</f>
        <v/>
      </c>
      <c r="R21" s="59">
        <f>H21-I21-J21-N21-O21-P21-Q21</f>
        <v/>
      </c>
      <c r="S21" s="59">
        <f>IF(AND(MOD(A21,12)=6,A21&gt;=18),MAX(0,SUMIF($B$2:$B$85,B21-1,$R$2:$R$85))*'Hypothèses'!$C$54,0)</f>
        <v/>
      </c>
      <c r="T21" s="59">
        <f>T20+R21-S21</f>
        <v/>
      </c>
    </row>
    <row r="22">
      <c r="A22" s="59" t="n">
        <v>21</v>
      </c>
      <c r="B22" s="59">
        <f>INT((A22-1)/12)+1</f>
        <v/>
      </c>
      <c r="C22" s="59">
        <f>IF(A22&lt;'Hypothèses'!$C$28,0,MIN('Hypothèses'!$C$29,INT((A22-'Hypothèses'!$C$28)/'Hypothèses'!$C$27)+1))</f>
        <v/>
      </c>
      <c r="D22" s="59">
        <f>C22*'Hypothèses'!$C$26</f>
        <v/>
      </c>
      <c r="E22" s="59">
        <f>IF((A22-'Hypothèses'!$C$11*12)&lt;'Hypothèses'!$C$28,0,MIN('Hypothèses'!$C$29,INT((A22-'Hypothèses'!$C$11*12-'Hypothèses'!$C$28)/'Hypothèses'!$C$27)+1))</f>
        <v/>
      </c>
      <c r="F22" s="59">
        <f>(C22-E22)*'Hypothèses'!$C$26</f>
        <v/>
      </c>
      <c r="G22" s="59">
        <f>'Hypothèses'!$C$20*(1+'Hypothèses'!$C$21)^(B22-1)</f>
        <v/>
      </c>
      <c r="H22" s="59">
        <f>D22*'Hypothèses'!$C$19*(365/12)*G22*'Hypothèses'!$C$22</f>
        <v/>
      </c>
      <c r="I22" s="59">
        <f>D22*'Hypothèses'!$C$14</f>
        <v/>
      </c>
      <c r="J22" s="59">
        <f>F22*'Hypothèses'!$C$12</f>
        <v/>
      </c>
      <c r="K22" s="59">
        <f>MAX(1,ROUNDUP(D22/'Hypothèses'!$C$40,0))</f>
        <v/>
      </c>
      <c r="L22" s="59">
        <f>MIN('Hypothèses'!$C$35*(1+'Hypothèses'!$C$36)^(B22-1),'Hypothèses'!$C$37)</f>
        <v/>
      </c>
      <c r="M22" s="59">
        <f>'Hypothèses'!$C$38*(1+'Hypothèses'!$C$39)^(B22-1)</f>
        <v/>
      </c>
      <c r="N22" s="59">
        <f>('Hypothèses'!$C$34*L22+K22*M22)*(1+'Hypothèses'!$C$41)</f>
        <v/>
      </c>
      <c r="O22" s="59">
        <f>'Hypothèses'!$C$42*(1+'Hypothèses'!$C$43)^(B22-1)</f>
        <v/>
      </c>
      <c r="P22" s="59">
        <f>'Hypothèses'!$C$44*(1+'Hypothèses'!$C$45)^(B22-1)</f>
        <v/>
      </c>
      <c r="Q22" s="59">
        <f>IF(A22&lt;='Hypothèses'!$C$50,'Hypothèses'!$C$51,0)</f>
        <v/>
      </c>
      <c r="R22" s="59">
        <f>H22-I22-J22-N22-O22-P22-Q22</f>
        <v/>
      </c>
      <c r="S22" s="59">
        <f>IF(AND(MOD(A22,12)=6,A22&gt;=18),MAX(0,SUMIF($B$2:$B$85,B22-1,$R$2:$R$85))*'Hypothèses'!$C$54,0)</f>
        <v/>
      </c>
      <c r="T22" s="59">
        <f>T21+R22-S22</f>
        <v/>
      </c>
    </row>
    <row r="23">
      <c r="A23" s="59" t="n">
        <v>22</v>
      </c>
      <c r="B23" s="59">
        <f>INT((A23-1)/12)+1</f>
        <v/>
      </c>
      <c r="C23" s="59">
        <f>IF(A23&lt;'Hypothèses'!$C$28,0,MIN('Hypothèses'!$C$29,INT((A23-'Hypothèses'!$C$28)/'Hypothèses'!$C$27)+1))</f>
        <v/>
      </c>
      <c r="D23" s="59">
        <f>C23*'Hypothèses'!$C$26</f>
        <v/>
      </c>
      <c r="E23" s="59">
        <f>IF((A23-'Hypothèses'!$C$11*12)&lt;'Hypothèses'!$C$28,0,MIN('Hypothèses'!$C$29,INT((A23-'Hypothèses'!$C$11*12-'Hypothèses'!$C$28)/'Hypothèses'!$C$27)+1))</f>
        <v/>
      </c>
      <c r="F23" s="59">
        <f>(C23-E23)*'Hypothèses'!$C$26</f>
        <v/>
      </c>
      <c r="G23" s="59">
        <f>'Hypothèses'!$C$20*(1+'Hypothèses'!$C$21)^(B23-1)</f>
        <v/>
      </c>
      <c r="H23" s="59">
        <f>D23*'Hypothèses'!$C$19*(365/12)*G23*'Hypothèses'!$C$22</f>
        <v/>
      </c>
      <c r="I23" s="59">
        <f>D23*'Hypothèses'!$C$14</f>
        <v/>
      </c>
      <c r="J23" s="59">
        <f>F23*'Hypothèses'!$C$12</f>
        <v/>
      </c>
      <c r="K23" s="59">
        <f>MAX(1,ROUNDUP(D23/'Hypothèses'!$C$40,0))</f>
        <v/>
      </c>
      <c r="L23" s="59">
        <f>MIN('Hypothèses'!$C$35*(1+'Hypothèses'!$C$36)^(B23-1),'Hypothèses'!$C$37)</f>
        <v/>
      </c>
      <c r="M23" s="59">
        <f>'Hypothèses'!$C$38*(1+'Hypothèses'!$C$39)^(B23-1)</f>
        <v/>
      </c>
      <c r="N23" s="59">
        <f>('Hypothèses'!$C$34*L23+K23*M23)*(1+'Hypothèses'!$C$41)</f>
        <v/>
      </c>
      <c r="O23" s="59">
        <f>'Hypothèses'!$C$42*(1+'Hypothèses'!$C$43)^(B23-1)</f>
        <v/>
      </c>
      <c r="P23" s="59">
        <f>'Hypothèses'!$C$44*(1+'Hypothèses'!$C$45)^(B23-1)</f>
        <v/>
      </c>
      <c r="Q23" s="59">
        <f>IF(A23&lt;='Hypothèses'!$C$50,'Hypothèses'!$C$51,0)</f>
        <v/>
      </c>
      <c r="R23" s="59">
        <f>H23-I23-J23-N23-O23-P23-Q23</f>
        <v/>
      </c>
      <c r="S23" s="59">
        <f>IF(AND(MOD(A23,12)=6,A23&gt;=18),MAX(0,SUMIF($B$2:$B$85,B23-1,$R$2:$R$85))*'Hypothèses'!$C$54,0)</f>
        <v/>
      </c>
      <c r="T23" s="59">
        <f>T22+R23-S23</f>
        <v/>
      </c>
    </row>
    <row r="24">
      <c r="A24" s="59" t="n">
        <v>23</v>
      </c>
      <c r="B24" s="59">
        <f>INT((A24-1)/12)+1</f>
        <v/>
      </c>
      <c r="C24" s="59">
        <f>IF(A24&lt;'Hypothèses'!$C$28,0,MIN('Hypothèses'!$C$29,INT((A24-'Hypothèses'!$C$28)/'Hypothèses'!$C$27)+1))</f>
        <v/>
      </c>
      <c r="D24" s="59">
        <f>C24*'Hypothèses'!$C$26</f>
        <v/>
      </c>
      <c r="E24" s="59">
        <f>IF((A24-'Hypothèses'!$C$11*12)&lt;'Hypothèses'!$C$28,0,MIN('Hypothèses'!$C$29,INT((A24-'Hypothèses'!$C$11*12-'Hypothèses'!$C$28)/'Hypothèses'!$C$27)+1))</f>
        <v/>
      </c>
      <c r="F24" s="59">
        <f>(C24-E24)*'Hypothèses'!$C$26</f>
        <v/>
      </c>
      <c r="G24" s="59">
        <f>'Hypothèses'!$C$20*(1+'Hypothèses'!$C$21)^(B24-1)</f>
        <v/>
      </c>
      <c r="H24" s="59">
        <f>D24*'Hypothèses'!$C$19*(365/12)*G24*'Hypothèses'!$C$22</f>
        <v/>
      </c>
      <c r="I24" s="59">
        <f>D24*'Hypothèses'!$C$14</f>
        <v/>
      </c>
      <c r="J24" s="59">
        <f>F24*'Hypothèses'!$C$12</f>
        <v/>
      </c>
      <c r="K24" s="59">
        <f>MAX(1,ROUNDUP(D24/'Hypothèses'!$C$40,0))</f>
        <v/>
      </c>
      <c r="L24" s="59">
        <f>MIN('Hypothèses'!$C$35*(1+'Hypothèses'!$C$36)^(B24-1),'Hypothèses'!$C$37)</f>
        <v/>
      </c>
      <c r="M24" s="59">
        <f>'Hypothèses'!$C$38*(1+'Hypothèses'!$C$39)^(B24-1)</f>
        <v/>
      </c>
      <c r="N24" s="59">
        <f>('Hypothèses'!$C$34*L24+K24*M24)*(1+'Hypothèses'!$C$41)</f>
        <v/>
      </c>
      <c r="O24" s="59">
        <f>'Hypothèses'!$C$42*(1+'Hypothèses'!$C$43)^(B24-1)</f>
        <v/>
      </c>
      <c r="P24" s="59">
        <f>'Hypothèses'!$C$44*(1+'Hypothèses'!$C$45)^(B24-1)</f>
        <v/>
      </c>
      <c r="Q24" s="59">
        <f>IF(A24&lt;='Hypothèses'!$C$50,'Hypothèses'!$C$51,0)</f>
        <v/>
      </c>
      <c r="R24" s="59">
        <f>H24-I24-J24-N24-O24-P24-Q24</f>
        <v/>
      </c>
      <c r="S24" s="59">
        <f>IF(AND(MOD(A24,12)=6,A24&gt;=18),MAX(0,SUMIF($B$2:$B$85,B24-1,$R$2:$R$85))*'Hypothèses'!$C$54,0)</f>
        <v/>
      </c>
      <c r="T24" s="59">
        <f>T23+R24-S24</f>
        <v/>
      </c>
    </row>
    <row r="25">
      <c r="A25" s="59" t="n">
        <v>24</v>
      </c>
      <c r="B25" s="59">
        <f>INT((A25-1)/12)+1</f>
        <v/>
      </c>
      <c r="C25" s="59">
        <f>IF(A25&lt;'Hypothèses'!$C$28,0,MIN('Hypothèses'!$C$29,INT((A25-'Hypothèses'!$C$28)/'Hypothèses'!$C$27)+1))</f>
        <v/>
      </c>
      <c r="D25" s="59">
        <f>C25*'Hypothèses'!$C$26</f>
        <v/>
      </c>
      <c r="E25" s="59">
        <f>IF((A25-'Hypothèses'!$C$11*12)&lt;'Hypothèses'!$C$28,0,MIN('Hypothèses'!$C$29,INT((A25-'Hypothèses'!$C$11*12-'Hypothèses'!$C$28)/'Hypothèses'!$C$27)+1))</f>
        <v/>
      </c>
      <c r="F25" s="59">
        <f>(C25-E25)*'Hypothèses'!$C$26</f>
        <v/>
      </c>
      <c r="G25" s="59">
        <f>'Hypothèses'!$C$20*(1+'Hypothèses'!$C$21)^(B25-1)</f>
        <v/>
      </c>
      <c r="H25" s="59">
        <f>D25*'Hypothèses'!$C$19*(365/12)*G25*'Hypothèses'!$C$22</f>
        <v/>
      </c>
      <c r="I25" s="59">
        <f>D25*'Hypothèses'!$C$14</f>
        <v/>
      </c>
      <c r="J25" s="59">
        <f>F25*'Hypothèses'!$C$12</f>
        <v/>
      </c>
      <c r="K25" s="59">
        <f>MAX(1,ROUNDUP(D25/'Hypothèses'!$C$40,0))</f>
        <v/>
      </c>
      <c r="L25" s="59">
        <f>MIN('Hypothèses'!$C$35*(1+'Hypothèses'!$C$36)^(B25-1),'Hypothèses'!$C$37)</f>
        <v/>
      </c>
      <c r="M25" s="59">
        <f>'Hypothèses'!$C$38*(1+'Hypothèses'!$C$39)^(B25-1)</f>
        <v/>
      </c>
      <c r="N25" s="59">
        <f>('Hypothèses'!$C$34*L25+K25*M25)*(1+'Hypothèses'!$C$41)</f>
        <v/>
      </c>
      <c r="O25" s="59">
        <f>'Hypothèses'!$C$42*(1+'Hypothèses'!$C$43)^(B25-1)</f>
        <v/>
      </c>
      <c r="P25" s="59">
        <f>'Hypothèses'!$C$44*(1+'Hypothèses'!$C$45)^(B25-1)</f>
        <v/>
      </c>
      <c r="Q25" s="59">
        <f>IF(A25&lt;='Hypothèses'!$C$50,'Hypothèses'!$C$51,0)</f>
        <v/>
      </c>
      <c r="R25" s="59">
        <f>H25-I25-J25-N25-O25-P25-Q25</f>
        <v/>
      </c>
      <c r="S25" s="59">
        <f>IF(AND(MOD(A25,12)=6,A25&gt;=18),MAX(0,SUMIF($B$2:$B$85,B25-1,$R$2:$R$85))*'Hypothèses'!$C$54,0)</f>
        <v/>
      </c>
      <c r="T25" s="59">
        <f>T24+R25-S25</f>
        <v/>
      </c>
    </row>
    <row r="26">
      <c r="A26" s="59" t="n">
        <v>25</v>
      </c>
      <c r="B26" s="59">
        <f>INT((A26-1)/12)+1</f>
        <v/>
      </c>
      <c r="C26" s="59">
        <f>IF(A26&lt;'Hypothèses'!$C$28,0,MIN('Hypothèses'!$C$29,INT((A26-'Hypothèses'!$C$28)/'Hypothèses'!$C$27)+1))</f>
        <v/>
      </c>
      <c r="D26" s="59">
        <f>C26*'Hypothèses'!$C$26</f>
        <v/>
      </c>
      <c r="E26" s="59">
        <f>IF((A26-'Hypothèses'!$C$11*12)&lt;'Hypothèses'!$C$28,0,MIN('Hypothèses'!$C$29,INT((A26-'Hypothèses'!$C$11*12-'Hypothèses'!$C$28)/'Hypothèses'!$C$27)+1))</f>
        <v/>
      </c>
      <c r="F26" s="59">
        <f>(C26-E26)*'Hypothèses'!$C$26</f>
        <v/>
      </c>
      <c r="G26" s="59">
        <f>'Hypothèses'!$C$20*(1+'Hypothèses'!$C$21)^(B26-1)</f>
        <v/>
      </c>
      <c r="H26" s="59">
        <f>D26*'Hypothèses'!$C$19*(365/12)*G26*'Hypothèses'!$C$22</f>
        <v/>
      </c>
      <c r="I26" s="59">
        <f>D26*'Hypothèses'!$C$14</f>
        <v/>
      </c>
      <c r="J26" s="59">
        <f>F26*'Hypothèses'!$C$12</f>
        <v/>
      </c>
      <c r="K26" s="59">
        <f>MAX(1,ROUNDUP(D26/'Hypothèses'!$C$40,0))</f>
        <v/>
      </c>
      <c r="L26" s="59">
        <f>MIN('Hypothèses'!$C$35*(1+'Hypothèses'!$C$36)^(B26-1),'Hypothèses'!$C$37)</f>
        <v/>
      </c>
      <c r="M26" s="59">
        <f>'Hypothèses'!$C$38*(1+'Hypothèses'!$C$39)^(B26-1)</f>
        <v/>
      </c>
      <c r="N26" s="59">
        <f>('Hypothèses'!$C$34*L26+K26*M26)*(1+'Hypothèses'!$C$41)</f>
        <v/>
      </c>
      <c r="O26" s="59">
        <f>'Hypothèses'!$C$42*(1+'Hypothèses'!$C$43)^(B26-1)</f>
        <v/>
      </c>
      <c r="P26" s="59">
        <f>'Hypothèses'!$C$44*(1+'Hypothèses'!$C$45)^(B26-1)</f>
        <v/>
      </c>
      <c r="Q26" s="59">
        <f>IF(A26&lt;='Hypothèses'!$C$50,'Hypothèses'!$C$51,0)</f>
        <v/>
      </c>
      <c r="R26" s="59">
        <f>H26-I26-J26-N26-O26-P26-Q26</f>
        <v/>
      </c>
      <c r="S26" s="59">
        <f>IF(AND(MOD(A26,12)=6,A26&gt;=18),MAX(0,SUMIF($B$2:$B$85,B26-1,$R$2:$R$85))*'Hypothèses'!$C$54,0)</f>
        <v/>
      </c>
      <c r="T26" s="59">
        <f>T25+R26-S26</f>
        <v/>
      </c>
    </row>
    <row r="27">
      <c r="A27" s="59" t="n">
        <v>26</v>
      </c>
      <c r="B27" s="59">
        <f>INT((A27-1)/12)+1</f>
        <v/>
      </c>
      <c r="C27" s="59">
        <f>IF(A27&lt;'Hypothèses'!$C$28,0,MIN('Hypothèses'!$C$29,INT((A27-'Hypothèses'!$C$28)/'Hypothèses'!$C$27)+1))</f>
        <v/>
      </c>
      <c r="D27" s="59">
        <f>C27*'Hypothèses'!$C$26</f>
        <v/>
      </c>
      <c r="E27" s="59">
        <f>IF((A27-'Hypothèses'!$C$11*12)&lt;'Hypothèses'!$C$28,0,MIN('Hypothèses'!$C$29,INT((A27-'Hypothèses'!$C$11*12-'Hypothèses'!$C$28)/'Hypothèses'!$C$27)+1))</f>
        <v/>
      </c>
      <c r="F27" s="59">
        <f>(C27-E27)*'Hypothèses'!$C$26</f>
        <v/>
      </c>
      <c r="G27" s="59">
        <f>'Hypothèses'!$C$20*(1+'Hypothèses'!$C$21)^(B27-1)</f>
        <v/>
      </c>
      <c r="H27" s="59">
        <f>D27*'Hypothèses'!$C$19*(365/12)*G27*'Hypothèses'!$C$22</f>
        <v/>
      </c>
      <c r="I27" s="59">
        <f>D27*'Hypothèses'!$C$14</f>
        <v/>
      </c>
      <c r="J27" s="59">
        <f>F27*'Hypothèses'!$C$12</f>
        <v/>
      </c>
      <c r="K27" s="59">
        <f>MAX(1,ROUNDUP(D27/'Hypothèses'!$C$40,0))</f>
        <v/>
      </c>
      <c r="L27" s="59">
        <f>MIN('Hypothèses'!$C$35*(1+'Hypothèses'!$C$36)^(B27-1),'Hypothèses'!$C$37)</f>
        <v/>
      </c>
      <c r="M27" s="59">
        <f>'Hypothèses'!$C$38*(1+'Hypothèses'!$C$39)^(B27-1)</f>
        <v/>
      </c>
      <c r="N27" s="59">
        <f>('Hypothèses'!$C$34*L27+K27*M27)*(1+'Hypothèses'!$C$41)</f>
        <v/>
      </c>
      <c r="O27" s="59">
        <f>'Hypothèses'!$C$42*(1+'Hypothèses'!$C$43)^(B27-1)</f>
        <v/>
      </c>
      <c r="P27" s="59">
        <f>'Hypothèses'!$C$44*(1+'Hypothèses'!$C$45)^(B27-1)</f>
        <v/>
      </c>
      <c r="Q27" s="59">
        <f>IF(A27&lt;='Hypothèses'!$C$50,'Hypothèses'!$C$51,0)</f>
        <v/>
      </c>
      <c r="R27" s="59">
        <f>H27-I27-J27-N27-O27-P27-Q27</f>
        <v/>
      </c>
      <c r="S27" s="59">
        <f>IF(AND(MOD(A27,12)=6,A27&gt;=18),MAX(0,SUMIF($B$2:$B$85,B27-1,$R$2:$R$85))*'Hypothèses'!$C$54,0)</f>
        <v/>
      </c>
      <c r="T27" s="59">
        <f>T26+R27-S27</f>
        <v/>
      </c>
    </row>
    <row r="28">
      <c r="A28" s="59" t="n">
        <v>27</v>
      </c>
      <c r="B28" s="59">
        <f>INT((A28-1)/12)+1</f>
        <v/>
      </c>
      <c r="C28" s="59">
        <f>IF(A28&lt;'Hypothèses'!$C$28,0,MIN('Hypothèses'!$C$29,INT((A28-'Hypothèses'!$C$28)/'Hypothèses'!$C$27)+1))</f>
        <v/>
      </c>
      <c r="D28" s="59">
        <f>C28*'Hypothèses'!$C$26</f>
        <v/>
      </c>
      <c r="E28" s="59">
        <f>IF((A28-'Hypothèses'!$C$11*12)&lt;'Hypothèses'!$C$28,0,MIN('Hypothèses'!$C$29,INT((A28-'Hypothèses'!$C$11*12-'Hypothèses'!$C$28)/'Hypothèses'!$C$27)+1))</f>
        <v/>
      </c>
      <c r="F28" s="59">
        <f>(C28-E28)*'Hypothèses'!$C$26</f>
        <v/>
      </c>
      <c r="G28" s="59">
        <f>'Hypothèses'!$C$20*(1+'Hypothèses'!$C$21)^(B28-1)</f>
        <v/>
      </c>
      <c r="H28" s="59">
        <f>D28*'Hypothèses'!$C$19*(365/12)*G28*'Hypothèses'!$C$22</f>
        <v/>
      </c>
      <c r="I28" s="59">
        <f>D28*'Hypothèses'!$C$14</f>
        <v/>
      </c>
      <c r="J28" s="59">
        <f>F28*'Hypothèses'!$C$12</f>
        <v/>
      </c>
      <c r="K28" s="59">
        <f>MAX(1,ROUNDUP(D28/'Hypothèses'!$C$40,0))</f>
        <v/>
      </c>
      <c r="L28" s="59">
        <f>MIN('Hypothèses'!$C$35*(1+'Hypothèses'!$C$36)^(B28-1),'Hypothèses'!$C$37)</f>
        <v/>
      </c>
      <c r="M28" s="59">
        <f>'Hypothèses'!$C$38*(1+'Hypothèses'!$C$39)^(B28-1)</f>
        <v/>
      </c>
      <c r="N28" s="59">
        <f>('Hypothèses'!$C$34*L28+K28*M28)*(1+'Hypothèses'!$C$41)</f>
        <v/>
      </c>
      <c r="O28" s="59">
        <f>'Hypothèses'!$C$42*(1+'Hypothèses'!$C$43)^(B28-1)</f>
        <v/>
      </c>
      <c r="P28" s="59">
        <f>'Hypothèses'!$C$44*(1+'Hypothèses'!$C$45)^(B28-1)</f>
        <v/>
      </c>
      <c r="Q28" s="59">
        <f>IF(A28&lt;='Hypothèses'!$C$50,'Hypothèses'!$C$51,0)</f>
        <v/>
      </c>
      <c r="R28" s="59">
        <f>H28-I28-J28-N28-O28-P28-Q28</f>
        <v/>
      </c>
      <c r="S28" s="59">
        <f>IF(AND(MOD(A28,12)=6,A28&gt;=18),MAX(0,SUMIF($B$2:$B$85,B28-1,$R$2:$R$85))*'Hypothèses'!$C$54,0)</f>
        <v/>
      </c>
      <c r="T28" s="59">
        <f>T27+R28-S28</f>
        <v/>
      </c>
    </row>
    <row r="29">
      <c r="A29" s="59" t="n">
        <v>28</v>
      </c>
      <c r="B29" s="59">
        <f>INT((A29-1)/12)+1</f>
        <v/>
      </c>
      <c r="C29" s="59">
        <f>IF(A29&lt;'Hypothèses'!$C$28,0,MIN('Hypothèses'!$C$29,INT((A29-'Hypothèses'!$C$28)/'Hypothèses'!$C$27)+1))</f>
        <v/>
      </c>
      <c r="D29" s="59">
        <f>C29*'Hypothèses'!$C$26</f>
        <v/>
      </c>
      <c r="E29" s="59">
        <f>IF((A29-'Hypothèses'!$C$11*12)&lt;'Hypothèses'!$C$28,0,MIN('Hypothèses'!$C$29,INT((A29-'Hypothèses'!$C$11*12-'Hypothèses'!$C$28)/'Hypothèses'!$C$27)+1))</f>
        <v/>
      </c>
      <c r="F29" s="59">
        <f>(C29-E29)*'Hypothèses'!$C$26</f>
        <v/>
      </c>
      <c r="G29" s="59">
        <f>'Hypothèses'!$C$20*(1+'Hypothèses'!$C$21)^(B29-1)</f>
        <v/>
      </c>
      <c r="H29" s="59">
        <f>D29*'Hypothèses'!$C$19*(365/12)*G29*'Hypothèses'!$C$22</f>
        <v/>
      </c>
      <c r="I29" s="59">
        <f>D29*'Hypothèses'!$C$14</f>
        <v/>
      </c>
      <c r="J29" s="59">
        <f>F29*'Hypothèses'!$C$12</f>
        <v/>
      </c>
      <c r="K29" s="59">
        <f>MAX(1,ROUNDUP(D29/'Hypothèses'!$C$40,0))</f>
        <v/>
      </c>
      <c r="L29" s="59">
        <f>MIN('Hypothèses'!$C$35*(1+'Hypothèses'!$C$36)^(B29-1),'Hypothèses'!$C$37)</f>
        <v/>
      </c>
      <c r="M29" s="59">
        <f>'Hypothèses'!$C$38*(1+'Hypothèses'!$C$39)^(B29-1)</f>
        <v/>
      </c>
      <c r="N29" s="59">
        <f>('Hypothèses'!$C$34*L29+K29*M29)*(1+'Hypothèses'!$C$41)</f>
        <v/>
      </c>
      <c r="O29" s="59">
        <f>'Hypothèses'!$C$42*(1+'Hypothèses'!$C$43)^(B29-1)</f>
        <v/>
      </c>
      <c r="P29" s="59">
        <f>'Hypothèses'!$C$44*(1+'Hypothèses'!$C$45)^(B29-1)</f>
        <v/>
      </c>
      <c r="Q29" s="59">
        <f>IF(A29&lt;='Hypothèses'!$C$50,'Hypothèses'!$C$51,0)</f>
        <v/>
      </c>
      <c r="R29" s="59">
        <f>H29-I29-J29-N29-O29-P29-Q29</f>
        <v/>
      </c>
      <c r="S29" s="59">
        <f>IF(AND(MOD(A29,12)=6,A29&gt;=18),MAX(0,SUMIF($B$2:$B$85,B29-1,$R$2:$R$85))*'Hypothèses'!$C$54,0)</f>
        <v/>
      </c>
      <c r="T29" s="59">
        <f>T28+R29-S29</f>
        <v/>
      </c>
    </row>
    <row r="30">
      <c r="A30" s="59" t="n">
        <v>29</v>
      </c>
      <c r="B30" s="59">
        <f>INT((A30-1)/12)+1</f>
        <v/>
      </c>
      <c r="C30" s="59">
        <f>IF(A30&lt;'Hypothèses'!$C$28,0,MIN('Hypothèses'!$C$29,INT((A30-'Hypothèses'!$C$28)/'Hypothèses'!$C$27)+1))</f>
        <v/>
      </c>
      <c r="D30" s="59">
        <f>C30*'Hypothèses'!$C$26</f>
        <v/>
      </c>
      <c r="E30" s="59">
        <f>IF((A30-'Hypothèses'!$C$11*12)&lt;'Hypothèses'!$C$28,0,MIN('Hypothèses'!$C$29,INT((A30-'Hypothèses'!$C$11*12-'Hypothèses'!$C$28)/'Hypothèses'!$C$27)+1))</f>
        <v/>
      </c>
      <c r="F30" s="59">
        <f>(C30-E30)*'Hypothèses'!$C$26</f>
        <v/>
      </c>
      <c r="G30" s="59">
        <f>'Hypothèses'!$C$20*(1+'Hypothèses'!$C$21)^(B30-1)</f>
        <v/>
      </c>
      <c r="H30" s="59">
        <f>D30*'Hypothèses'!$C$19*(365/12)*G30*'Hypothèses'!$C$22</f>
        <v/>
      </c>
      <c r="I30" s="59">
        <f>D30*'Hypothèses'!$C$14</f>
        <v/>
      </c>
      <c r="J30" s="59">
        <f>F30*'Hypothèses'!$C$12</f>
        <v/>
      </c>
      <c r="K30" s="59">
        <f>MAX(1,ROUNDUP(D30/'Hypothèses'!$C$40,0))</f>
        <v/>
      </c>
      <c r="L30" s="59">
        <f>MIN('Hypothèses'!$C$35*(1+'Hypothèses'!$C$36)^(B30-1),'Hypothèses'!$C$37)</f>
        <v/>
      </c>
      <c r="M30" s="59">
        <f>'Hypothèses'!$C$38*(1+'Hypothèses'!$C$39)^(B30-1)</f>
        <v/>
      </c>
      <c r="N30" s="59">
        <f>('Hypothèses'!$C$34*L30+K30*M30)*(1+'Hypothèses'!$C$41)</f>
        <v/>
      </c>
      <c r="O30" s="59">
        <f>'Hypothèses'!$C$42*(1+'Hypothèses'!$C$43)^(B30-1)</f>
        <v/>
      </c>
      <c r="P30" s="59">
        <f>'Hypothèses'!$C$44*(1+'Hypothèses'!$C$45)^(B30-1)</f>
        <v/>
      </c>
      <c r="Q30" s="59">
        <f>IF(A30&lt;='Hypothèses'!$C$50,'Hypothèses'!$C$51,0)</f>
        <v/>
      </c>
      <c r="R30" s="59">
        <f>H30-I30-J30-N30-O30-P30-Q30</f>
        <v/>
      </c>
      <c r="S30" s="59">
        <f>IF(AND(MOD(A30,12)=6,A30&gt;=18),MAX(0,SUMIF($B$2:$B$85,B30-1,$R$2:$R$85))*'Hypothèses'!$C$54,0)</f>
        <v/>
      </c>
      <c r="T30" s="59">
        <f>T29+R30-S30</f>
        <v/>
      </c>
    </row>
    <row r="31">
      <c r="A31" s="59" t="n">
        <v>30</v>
      </c>
      <c r="B31" s="59">
        <f>INT((A31-1)/12)+1</f>
        <v/>
      </c>
      <c r="C31" s="59">
        <f>IF(A31&lt;'Hypothèses'!$C$28,0,MIN('Hypothèses'!$C$29,INT((A31-'Hypothèses'!$C$28)/'Hypothèses'!$C$27)+1))</f>
        <v/>
      </c>
      <c r="D31" s="59">
        <f>C31*'Hypothèses'!$C$26</f>
        <v/>
      </c>
      <c r="E31" s="59">
        <f>IF((A31-'Hypothèses'!$C$11*12)&lt;'Hypothèses'!$C$28,0,MIN('Hypothèses'!$C$29,INT((A31-'Hypothèses'!$C$11*12-'Hypothèses'!$C$28)/'Hypothèses'!$C$27)+1))</f>
        <v/>
      </c>
      <c r="F31" s="59">
        <f>(C31-E31)*'Hypothèses'!$C$26</f>
        <v/>
      </c>
      <c r="G31" s="59">
        <f>'Hypothèses'!$C$20*(1+'Hypothèses'!$C$21)^(B31-1)</f>
        <v/>
      </c>
      <c r="H31" s="59">
        <f>D31*'Hypothèses'!$C$19*(365/12)*G31*'Hypothèses'!$C$22</f>
        <v/>
      </c>
      <c r="I31" s="59">
        <f>D31*'Hypothèses'!$C$14</f>
        <v/>
      </c>
      <c r="J31" s="59">
        <f>F31*'Hypothèses'!$C$12</f>
        <v/>
      </c>
      <c r="K31" s="59">
        <f>MAX(1,ROUNDUP(D31/'Hypothèses'!$C$40,0))</f>
        <v/>
      </c>
      <c r="L31" s="59">
        <f>MIN('Hypothèses'!$C$35*(1+'Hypothèses'!$C$36)^(B31-1),'Hypothèses'!$C$37)</f>
        <v/>
      </c>
      <c r="M31" s="59">
        <f>'Hypothèses'!$C$38*(1+'Hypothèses'!$C$39)^(B31-1)</f>
        <v/>
      </c>
      <c r="N31" s="59">
        <f>('Hypothèses'!$C$34*L31+K31*M31)*(1+'Hypothèses'!$C$41)</f>
        <v/>
      </c>
      <c r="O31" s="59">
        <f>'Hypothèses'!$C$42*(1+'Hypothèses'!$C$43)^(B31-1)</f>
        <v/>
      </c>
      <c r="P31" s="59">
        <f>'Hypothèses'!$C$44*(1+'Hypothèses'!$C$45)^(B31-1)</f>
        <v/>
      </c>
      <c r="Q31" s="59">
        <f>IF(A31&lt;='Hypothèses'!$C$50,'Hypothèses'!$C$51,0)</f>
        <v/>
      </c>
      <c r="R31" s="59">
        <f>H31-I31-J31-N31-O31-P31-Q31</f>
        <v/>
      </c>
      <c r="S31" s="59">
        <f>IF(AND(MOD(A31,12)=6,A31&gt;=18),MAX(0,SUMIF($B$2:$B$85,B31-1,$R$2:$R$85))*'Hypothèses'!$C$54,0)</f>
        <v/>
      </c>
      <c r="T31" s="59">
        <f>T30+R31-S31</f>
        <v/>
      </c>
    </row>
    <row r="32">
      <c r="A32" s="59" t="n">
        <v>31</v>
      </c>
      <c r="B32" s="59">
        <f>INT((A32-1)/12)+1</f>
        <v/>
      </c>
      <c r="C32" s="59">
        <f>IF(A32&lt;'Hypothèses'!$C$28,0,MIN('Hypothèses'!$C$29,INT((A32-'Hypothèses'!$C$28)/'Hypothèses'!$C$27)+1))</f>
        <v/>
      </c>
      <c r="D32" s="59">
        <f>C32*'Hypothèses'!$C$26</f>
        <v/>
      </c>
      <c r="E32" s="59">
        <f>IF((A32-'Hypothèses'!$C$11*12)&lt;'Hypothèses'!$C$28,0,MIN('Hypothèses'!$C$29,INT((A32-'Hypothèses'!$C$11*12-'Hypothèses'!$C$28)/'Hypothèses'!$C$27)+1))</f>
        <v/>
      </c>
      <c r="F32" s="59">
        <f>(C32-E32)*'Hypothèses'!$C$26</f>
        <v/>
      </c>
      <c r="G32" s="59">
        <f>'Hypothèses'!$C$20*(1+'Hypothèses'!$C$21)^(B32-1)</f>
        <v/>
      </c>
      <c r="H32" s="59">
        <f>D32*'Hypothèses'!$C$19*(365/12)*G32*'Hypothèses'!$C$22</f>
        <v/>
      </c>
      <c r="I32" s="59">
        <f>D32*'Hypothèses'!$C$14</f>
        <v/>
      </c>
      <c r="J32" s="59">
        <f>F32*'Hypothèses'!$C$12</f>
        <v/>
      </c>
      <c r="K32" s="59">
        <f>MAX(1,ROUNDUP(D32/'Hypothèses'!$C$40,0))</f>
        <v/>
      </c>
      <c r="L32" s="59">
        <f>MIN('Hypothèses'!$C$35*(1+'Hypothèses'!$C$36)^(B32-1),'Hypothèses'!$C$37)</f>
        <v/>
      </c>
      <c r="M32" s="59">
        <f>'Hypothèses'!$C$38*(1+'Hypothèses'!$C$39)^(B32-1)</f>
        <v/>
      </c>
      <c r="N32" s="59">
        <f>('Hypothèses'!$C$34*L32+K32*M32)*(1+'Hypothèses'!$C$41)</f>
        <v/>
      </c>
      <c r="O32" s="59">
        <f>'Hypothèses'!$C$42*(1+'Hypothèses'!$C$43)^(B32-1)</f>
        <v/>
      </c>
      <c r="P32" s="59">
        <f>'Hypothèses'!$C$44*(1+'Hypothèses'!$C$45)^(B32-1)</f>
        <v/>
      </c>
      <c r="Q32" s="59">
        <f>IF(A32&lt;='Hypothèses'!$C$50,'Hypothèses'!$C$51,0)</f>
        <v/>
      </c>
      <c r="R32" s="59">
        <f>H32-I32-J32-N32-O32-P32-Q32</f>
        <v/>
      </c>
      <c r="S32" s="59">
        <f>IF(AND(MOD(A32,12)=6,A32&gt;=18),MAX(0,SUMIF($B$2:$B$85,B32-1,$R$2:$R$85))*'Hypothèses'!$C$54,0)</f>
        <v/>
      </c>
      <c r="T32" s="59">
        <f>T31+R32-S32</f>
        <v/>
      </c>
    </row>
    <row r="33">
      <c r="A33" s="59" t="n">
        <v>32</v>
      </c>
      <c r="B33" s="59">
        <f>INT((A33-1)/12)+1</f>
        <v/>
      </c>
      <c r="C33" s="59">
        <f>IF(A33&lt;'Hypothèses'!$C$28,0,MIN('Hypothèses'!$C$29,INT((A33-'Hypothèses'!$C$28)/'Hypothèses'!$C$27)+1))</f>
        <v/>
      </c>
      <c r="D33" s="59">
        <f>C33*'Hypothèses'!$C$26</f>
        <v/>
      </c>
      <c r="E33" s="59">
        <f>IF((A33-'Hypothèses'!$C$11*12)&lt;'Hypothèses'!$C$28,0,MIN('Hypothèses'!$C$29,INT((A33-'Hypothèses'!$C$11*12-'Hypothèses'!$C$28)/'Hypothèses'!$C$27)+1))</f>
        <v/>
      </c>
      <c r="F33" s="59">
        <f>(C33-E33)*'Hypothèses'!$C$26</f>
        <v/>
      </c>
      <c r="G33" s="59">
        <f>'Hypothèses'!$C$20*(1+'Hypothèses'!$C$21)^(B33-1)</f>
        <v/>
      </c>
      <c r="H33" s="59">
        <f>D33*'Hypothèses'!$C$19*(365/12)*G33*'Hypothèses'!$C$22</f>
        <v/>
      </c>
      <c r="I33" s="59">
        <f>D33*'Hypothèses'!$C$14</f>
        <v/>
      </c>
      <c r="J33" s="59">
        <f>F33*'Hypothèses'!$C$12</f>
        <v/>
      </c>
      <c r="K33" s="59">
        <f>MAX(1,ROUNDUP(D33/'Hypothèses'!$C$40,0))</f>
        <v/>
      </c>
      <c r="L33" s="59">
        <f>MIN('Hypothèses'!$C$35*(1+'Hypothèses'!$C$36)^(B33-1),'Hypothèses'!$C$37)</f>
        <v/>
      </c>
      <c r="M33" s="59">
        <f>'Hypothèses'!$C$38*(1+'Hypothèses'!$C$39)^(B33-1)</f>
        <v/>
      </c>
      <c r="N33" s="59">
        <f>('Hypothèses'!$C$34*L33+K33*M33)*(1+'Hypothèses'!$C$41)</f>
        <v/>
      </c>
      <c r="O33" s="59">
        <f>'Hypothèses'!$C$42*(1+'Hypothèses'!$C$43)^(B33-1)</f>
        <v/>
      </c>
      <c r="P33" s="59">
        <f>'Hypothèses'!$C$44*(1+'Hypothèses'!$C$45)^(B33-1)</f>
        <v/>
      </c>
      <c r="Q33" s="59">
        <f>IF(A33&lt;='Hypothèses'!$C$50,'Hypothèses'!$C$51,0)</f>
        <v/>
      </c>
      <c r="R33" s="59">
        <f>H33-I33-J33-N33-O33-P33-Q33</f>
        <v/>
      </c>
      <c r="S33" s="59">
        <f>IF(AND(MOD(A33,12)=6,A33&gt;=18),MAX(0,SUMIF($B$2:$B$85,B33-1,$R$2:$R$85))*'Hypothèses'!$C$54,0)</f>
        <v/>
      </c>
      <c r="T33" s="59">
        <f>T32+R33-S33</f>
        <v/>
      </c>
    </row>
    <row r="34">
      <c r="A34" s="59" t="n">
        <v>33</v>
      </c>
      <c r="B34" s="59">
        <f>INT((A34-1)/12)+1</f>
        <v/>
      </c>
      <c r="C34" s="59">
        <f>IF(A34&lt;'Hypothèses'!$C$28,0,MIN('Hypothèses'!$C$29,INT((A34-'Hypothèses'!$C$28)/'Hypothèses'!$C$27)+1))</f>
        <v/>
      </c>
      <c r="D34" s="59">
        <f>C34*'Hypothèses'!$C$26</f>
        <v/>
      </c>
      <c r="E34" s="59">
        <f>IF((A34-'Hypothèses'!$C$11*12)&lt;'Hypothèses'!$C$28,0,MIN('Hypothèses'!$C$29,INT((A34-'Hypothèses'!$C$11*12-'Hypothèses'!$C$28)/'Hypothèses'!$C$27)+1))</f>
        <v/>
      </c>
      <c r="F34" s="59">
        <f>(C34-E34)*'Hypothèses'!$C$26</f>
        <v/>
      </c>
      <c r="G34" s="59">
        <f>'Hypothèses'!$C$20*(1+'Hypothèses'!$C$21)^(B34-1)</f>
        <v/>
      </c>
      <c r="H34" s="59">
        <f>D34*'Hypothèses'!$C$19*(365/12)*G34*'Hypothèses'!$C$22</f>
        <v/>
      </c>
      <c r="I34" s="59">
        <f>D34*'Hypothèses'!$C$14</f>
        <v/>
      </c>
      <c r="J34" s="59">
        <f>F34*'Hypothèses'!$C$12</f>
        <v/>
      </c>
      <c r="K34" s="59">
        <f>MAX(1,ROUNDUP(D34/'Hypothèses'!$C$40,0))</f>
        <v/>
      </c>
      <c r="L34" s="59">
        <f>MIN('Hypothèses'!$C$35*(1+'Hypothèses'!$C$36)^(B34-1),'Hypothèses'!$C$37)</f>
        <v/>
      </c>
      <c r="M34" s="59">
        <f>'Hypothèses'!$C$38*(1+'Hypothèses'!$C$39)^(B34-1)</f>
        <v/>
      </c>
      <c r="N34" s="59">
        <f>('Hypothèses'!$C$34*L34+K34*M34)*(1+'Hypothèses'!$C$41)</f>
        <v/>
      </c>
      <c r="O34" s="59">
        <f>'Hypothèses'!$C$42*(1+'Hypothèses'!$C$43)^(B34-1)</f>
        <v/>
      </c>
      <c r="P34" s="59">
        <f>'Hypothèses'!$C$44*(1+'Hypothèses'!$C$45)^(B34-1)</f>
        <v/>
      </c>
      <c r="Q34" s="59">
        <f>IF(A34&lt;='Hypothèses'!$C$50,'Hypothèses'!$C$51,0)</f>
        <v/>
      </c>
      <c r="R34" s="59">
        <f>H34-I34-J34-N34-O34-P34-Q34</f>
        <v/>
      </c>
      <c r="S34" s="59">
        <f>IF(AND(MOD(A34,12)=6,A34&gt;=18),MAX(0,SUMIF($B$2:$B$85,B34-1,$R$2:$R$85))*'Hypothèses'!$C$54,0)</f>
        <v/>
      </c>
      <c r="T34" s="59">
        <f>T33+R34-S34</f>
        <v/>
      </c>
    </row>
    <row r="35">
      <c r="A35" s="59" t="n">
        <v>34</v>
      </c>
      <c r="B35" s="59">
        <f>INT((A35-1)/12)+1</f>
        <v/>
      </c>
      <c r="C35" s="59">
        <f>IF(A35&lt;'Hypothèses'!$C$28,0,MIN('Hypothèses'!$C$29,INT((A35-'Hypothèses'!$C$28)/'Hypothèses'!$C$27)+1))</f>
        <v/>
      </c>
      <c r="D35" s="59">
        <f>C35*'Hypothèses'!$C$26</f>
        <v/>
      </c>
      <c r="E35" s="59">
        <f>IF((A35-'Hypothèses'!$C$11*12)&lt;'Hypothèses'!$C$28,0,MIN('Hypothèses'!$C$29,INT((A35-'Hypothèses'!$C$11*12-'Hypothèses'!$C$28)/'Hypothèses'!$C$27)+1))</f>
        <v/>
      </c>
      <c r="F35" s="59">
        <f>(C35-E35)*'Hypothèses'!$C$26</f>
        <v/>
      </c>
      <c r="G35" s="59">
        <f>'Hypothèses'!$C$20*(1+'Hypothèses'!$C$21)^(B35-1)</f>
        <v/>
      </c>
      <c r="H35" s="59">
        <f>D35*'Hypothèses'!$C$19*(365/12)*G35*'Hypothèses'!$C$22</f>
        <v/>
      </c>
      <c r="I35" s="59">
        <f>D35*'Hypothèses'!$C$14</f>
        <v/>
      </c>
      <c r="J35" s="59">
        <f>F35*'Hypothèses'!$C$12</f>
        <v/>
      </c>
      <c r="K35" s="59">
        <f>MAX(1,ROUNDUP(D35/'Hypothèses'!$C$40,0))</f>
        <v/>
      </c>
      <c r="L35" s="59">
        <f>MIN('Hypothèses'!$C$35*(1+'Hypothèses'!$C$36)^(B35-1),'Hypothèses'!$C$37)</f>
        <v/>
      </c>
      <c r="M35" s="59">
        <f>'Hypothèses'!$C$38*(1+'Hypothèses'!$C$39)^(B35-1)</f>
        <v/>
      </c>
      <c r="N35" s="59">
        <f>('Hypothèses'!$C$34*L35+K35*M35)*(1+'Hypothèses'!$C$41)</f>
        <v/>
      </c>
      <c r="O35" s="59">
        <f>'Hypothèses'!$C$42*(1+'Hypothèses'!$C$43)^(B35-1)</f>
        <v/>
      </c>
      <c r="P35" s="59">
        <f>'Hypothèses'!$C$44*(1+'Hypothèses'!$C$45)^(B35-1)</f>
        <v/>
      </c>
      <c r="Q35" s="59">
        <f>IF(A35&lt;='Hypothèses'!$C$50,'Hypothèses'!$C$51,0)</f>
        <v/>
      </c>
      <c r="R35" s="59">
        <f>H35-I35-J35-N35-O35-P35-Q35</f>
        <v/>
      </c>
      <c r="S35" s="59">
        <f>IF(AND(MOD(A35,12)=6,A35&gt;=18),MAX(0,SUMIF($B$2:$B$85,B35-1,$R$2:$R$85))*'Hypothèses'!$C$54,0)</f>
        <v/>
      </c>
      <c r="T35" s="59">
        <f>T34+R35-S35</f>
        <v/>
      </c>
    </row>
    <row r="36">
      <c r="A36" s="59" t="n">
        <v>35</v>
      </c>
      <c r="B36" s="59">
        <f>INT((A36-1)/12)+1</f>
        <v/>
      </c>
      <c r="C36" s="59">
        <f>IF(A36&lt;'Hypothèses'!$C$28,0,MIN('Hypothèses'!$C$29,INT((A36-'Hypothèses'!$C$28)/'Hypothèses'!$C$27)+1))</f>
        <v/>
      </c>
      <c r="D36" s="59">
        <f>C36*'Hypothèses'!$C$26</f>
        <v/>
      </c>
      <c r="E36" s="59">
        <f>IF((A36-'Hypothèses'!$C$11*12)&lt;'Hypothèses'!$C$28,0,MIN('Hypothèses'!$C$29,INT((A36-'Hypothèses'!$C$11*12-'Hypothèses'!$C$28)/'Hypothèses'!$C$27)+1))</f>
        <v/>
      </c>
      <c r="F36" s="59">
        <f>(C36-E36)*'Hypothèses'!$C$26</f>
        <v/>
      </c>
      <c r="G36" s="59">
        <f>'Hypothèses'!$C$20*(1+'Hypothèses'!$C$21)^(B36-1)</f>
        <v/>
      </c>
      <c r="H36" s="59">
        <f>D36*'Hypothèses'!$C$19*(365/12)*G36*'Hypothèses'!$C$22</f>
        <v/>
      </c>
      <c r="I36" s="59">
        <f>D36*'Hypothèses'!$C$14</f>
        <v/>
      </c>
      <c r="J36" s="59">
        <f>F36*'Hypothèses'!$C$12</f>
        <v/>
      </c>
      <c r="K36" s="59">
        <f>MAX(1,ROUNDUP(D36/'Hypothèses'!$C$40,0))</f>
        <v/>
      </c>
      <c r="L36" s="59">
        <f>MIN('Hypothèses'!$C$35*(1+'Hypothèses'!$C$36)^(B36-1),'Hypothèses'!$C$37)</f>
        <v/>
      </c>
      <c r="M36" s="59">
        <f>'Hypothèses'!$C$38*(1+'Hypothèses'!$C$39)^(B36-1)</f>
        <v/>
      </c>
      <c r="N36" s="59">
        <f>('Hypothèses'!$C$34*L36+K36*M36)*(1+'Hypothèses'!$C$41)</f>
        <v/>
      </c>
      <c r="O36" s="59">
        <f>'Hypothèses'!$C$42*(1+'Hypothèses'!$C$43)^(B36-1)</f>
        <v/>
      </c>
      <c r="P36" s="59">
        <f>'Hypothèses'!$C$44*(1+'Hypothèses'!$C$45)^(B36-1)</f>
        <v/>
      </c>
      <c r="Q36" s="59">
        <f>IF(A36&lt;='Hypothèses'!$C$50,'Hypothèses'!$C$51,0)</f>
        <v/>
      </c>
      <c r="R36" s="59">
        <f>H36-I36-J36-N36-O36-P36-Q36</f>
        <v/>
      </c>
      <c r="S36" s="59">
        <f>IF(AND(MOD(A36,12)=6,A36&gt;=18),MAX(0,SUMIF($B$2:$B$85,B36-1,$R$2:$R$85))*'Hypothèses'!$C$54,0)</f>
        <v/>
      </c>
      <c r="T36" s="59">
        <f>T35+R36-S36</f>
        <v/>
      </c>
    </row>
    <row r="37">
      <c r="A37" s="59" t="n">
        <v>36</v>
      </c>
      <c r="B37" s="59">
        <f>INT((A37-1)/12)+1</f>
        <v/>
      </c>
      <c r="C37" s="59">
        <f>IF(A37&lt;'Hypothèses'!$C$28,0,MIN('Hypothèses'!$C$29,INT((A37-'Hypothèses'!$C$28)/'Hypothèses'!$C$27)+1))</f>
        <v/>
      </c>
      <c r="D37" s="59">
        <f>C37*'Hypothèses'!$C$26</f>
        <v/>
      </c>
      <c r="E37" s="59">
        <f>IF((A37-'Hypothèses'!$C$11*12)&lt;'Hypothèses'!$C$28,0,MIN('Hypothèses'!$C$29,INT((A37-'Hypothèses'!$C$11*12-'Hypothèses'!$C$28)/'Hypothèses'!$C$27)+1))</f>
        <v/>
      </c>
      <c r="F37" s="59">
        <f>(C37-E37)*'Hypothèses'!$C$26</f>
        <v/>
      </c>
      <c r="G37" s="59">
        <f>'Hypothèses'!$C$20*(1+'Hypothèses'!$C$21)^(B37-1)</f>
        <v/>
      </c>
      <c r="H37" s="59">
        <f>D37*'Hypothèses'!$C$19*(365/12)*G37*'Hypothèses'!$C$22</f>
        <v/>
      </c>
      <c r="I37" s="59">
        <f>D37*'Hypothèses'!$C$14</f>
        <v/>
      </c>
      <c r="J37" s="59">
        <f>F37*'Hypothèses'!$C$12</f>
        <v/>
      </c>
      <c r="K37" s="59">
        <f>MAX(1,ROUNDUP(D37/'Hypothèses'!$C$40,0))</f>
        <v/>
      </c>
      <c r="L37" s="59">
        <f>MIN('Hypothèses'!$C$35*(1+'Hypothèses'!$C$36)^(B37-1),'Hypothèses'!$C$37)</f>
        <v/>
      </c>
      <c r="M37" s="59">
        <f>'Hypothèses'!$C$38*(1+'Hypothèses'!$C$39)^(B37-1)</f>
        <v/>
      </c>
      <c r="N37" s="59">
        <f>('Hypothèses'!$C$34*L37+K37*M37)*(1+'Hypothèses'!$C$41)</f>
        <v/>
      </c>
      <c r="O37" s="59">
        <f>'Hypothèses'!$C$42*(1+'Hypothèses'!$C$43)^(B37-1)</f>
        <v/>
      </c>
      <c r="P37" s="59">
        <f>'Hypothèses'!$C$44*(1+'Hypothèses'!$C$45)^(B37-1)</f>
        <v/>
      </c>
      <c r="Q37" s="59">
        <f>IF(A37&lt;='Hypothèses'!$C$50,'Hypothèses'!$C$51,0)</f>
        <v/>
      </c>
      <c r="R37" s="59">
        <f>H37-I37-J37-N37-O37-P37-Q37</f>
        <v/>
      </c>
      <c r="S37" s="59">
        <f>IF(AND(MOD(A37,12)=6,A37&gt;=18),MAX(0,SUMIF($B$2:$B$85,B37-1,$R$2:$R$85))*'Hypothèses'!$C$54,0)</f>
        <v/>
      </c>
      <c r="T37" s="59">
        <f>T36+R37-S37</f>
        <v/>
      </c>
    </row>
    <row r="38">
      <c r="A38" s="59" t="n">
        <v>37</v>
      </c>
      <c r="B38" s="59">
        <f>INT((A38-1)/12)+1</f>
        <v/>
      </c>
      <c r="C38" s="59">
        <f>IF(A38&lt;'Hypothèses'!$C$28,0,MIN('Hypothèses'!$C$29,INT((A38-'Hypothèses'!$C$28)/'Hypothèses'!$C$27)+1))</f>
        <v/>
      </c>
      <c r="D38" s="59">
        <f>C38*'Hypothèses'!$C$26</f>
        <v/>
      </c>
      <c r="E38" s="59">
        <f>IF((A38-'Hypothèses'!$C$11*12)&lt;'Hypothèses'!$C$28,0,MIN('Hypothèses'!$C$29,INT((A38-'Hypothèses'!$C$11*12-'Hypothèses'!$C$28)/'Hypothèses'!$C$27)+1))</f>
        <v/>
      </c>
      <c r="F38" s="59">
        <f>(C38-E38)*'Hypothèses'!$C$26</f>
        <v/>
      </c>
      <c r="G38" s="59">
        <f>'Hypothèses'!$C$20*(1+'Hypothèses'!$C$21)^(B38-1)</f>
        <v/>
      </c>
      <c r="H38" s="59">
        <f>D38*'Hypothèses'!$C$19*(365/12)*G38*'Hypothèses'!$C$22</f>
        <v/>
      </c>
      <c r="I38" s="59">
        <f>D38*'Hypothèses'!$C$14</f>
        <v/>
      </c>
      <c r="J38" s="59">
        <f>F38*'Hypothèses'!$C$12</f>
        <v/>
      </c>
      <c r="K38" s="59">
        <f>MAX(1,ROUNDUP(D38/'Hypothèses'!$C$40,0))</f>
        <v/>
      </c>
      <c r="L38" s="59">
        <f>MIN('Hypothèses'!$C$35*(1+'Hypothèses'!$C$36)^(B38-1),'Hypothèses'!$C$37)</f>
        <v/>
      </c>
      <c r="M38" s="59">
        <f>'Hypothèses'!$C$38*(1+'Hypothèses'!$C$39)^(B38-1)</f>
        <v/>
      </c>
      <c r="N38" s="59">
        <f>('Hypothèses'!$C$34*L38+K38*M38)*(1+'Hypothèses'!$C$41)</f>
        <v/>
      </c>
      <c r="O38" s="59">
        <f>'Hypothèses'!$C$42*(1+'Hypothèses'!$C$43)^(B38-1)</f>
        <v/>
      </c>
      <c r="P38" s="59">
        <f>'Hypothèses'!$C$44*(1+'Hypothèses'!$C$45)^(B38-1)</f>
        <v/>
      </c>
      <c r="Q38" s="59">
        <f>IF(A38&lt;='Hypothèses'!$C$50,'Hypothèses'!$C$51,0)</f>
        <v/>
      </c>
      <c r="R38" s="59">
        <f>H38-I38-J38-N38-O38-P38-Q38</f>
        <v/>
      </c>
      <c r="S38" s="59">
        <f>IF(AND(MOD(A38,12)=6,A38&gt;=18),MAX(0,SUMIF($B$2:$B$85,B38-1,$R$2:$R$85))*'Hypothèses'!$C$54,0)</f>
        <v/>
      </c>
      <c r="T38" s="59">
        <f>T37+R38-S38</f>
        <v/>
      </c>
    </row>
    <row r="39">
      <c r="A39" s="59" t="n">
        <v>38</v>
      </c>
      <c r="B39" s="59">
        <f>INT((A39-1)/12)+1</f>
        <v/>
      </c>
      <c r="C39" s="59">
        <f>IF(A39&lt;'Hypothèses'!$C$28,0,MIN('Hypothèses'!$C$29,INT((A39-'Hypothèses'!$C$28)/'Hypothèses'!$C$27)+1))</f>
        <v/>
      </c>
      <c r="D39" s="59">
        <f>C39*'Hypothèses'!$C$26</f>
        <v/>
      </c>
      <c r="E39" s="59">
        <f>IF((A39-'Hypothèses'!$C$11*12)&lt;'Hypothèses'!$C$28,0,MIN('Hypothèses'!$C$29,INT((A39-'Hypothèses'!$C$11*12-'Hypothèses'!$C$28)/'Hypothèses'!$C$27)+1))</f>
        <v/>
      </c>
      <c r="F39" s="59">
        <f>(C39-E39)*'Hypothèses'!$C$26</f>
        <v/>
      </c>
      <c r="G39" s="59">
        <f>'Hypothèses'!$C$20*(1+'Hypothèses'!$C$21)^(B39-1)</f>
        <v/>
      </c>
      <c r="H39" s="59">
        <f>D39*'Hypothèses'!$C$19*(365/12)*G39*'Hypothèses'!$C$22</f>
        <v/>
      </c>
      <c r="I39" s="59">
        <f>D39*'Hypothèses'!$C$14</f>
        <v/>
      </c>
      <c r="J39" s="59">
        <f>F39*'Hypothèses'!$C$12</f>
        <v/>
      </c>
      <c r="K39" s="59">
        <f>MAX(1,ROUNDUP(D39/'Hypothèses'!$C$40,0))</f>
        <v/>
      </c>
      <c r="L39" s="59">
        <f>MIN('Hypothèses'!$C$35*(1+'Hypothèses'!$C$36)^(B39-1),'Hypothèses'!$C$37)</f>
        <v/>
      </c>
      <c r="M39" s="59">
        <f>'Hypothèses'!$C$38*(1+'Hypothèses'!$C$39)^(B39-1)</f>
        <v/>
      </c>
      <c r="N39" s="59">
        <f>('Hypothèses'!$C$34*L39+K39*M39)*(1+'Hypothèses'!$C$41)</f>
        <v/>
      </c>
      <c r="O39" s="59">
        <f>'Hypothèses'!$C$42*(1+'Hypothèses'!$C$43)^(B39-1)</f>
        <v/>
      </c>
      <c r="P39" s="59">
        <f>'Hypothèses'!$C$44*(1+'Hypothèses'!$C$45)^(B39-1)</f>
        <v/>
      </c>
      <c r="Q39" s="59">
        <f>IF(A39&lt;='Hypothèses'!$C$50,'Hypothèses'!$C$51,0)</f>
        <v/>
      </c>
      <c r="R39" s="59">
        <f>H39-I39-J39-N39-O39-P39-Q39</f>
        <v/>
      </c>
      <c r="S39" s="59">
        <f>IF(AND(MOD(A39,12)=6,A39&gt;=18),MAX(0,SUMIF($B$2:$B$85,B39-1,$R$2:$R$85))*'Hypothèses'!$C$54,0)</f>
        <v/>
      </c>
      <c r="T39" s="59">
        <f>T38+R39-S39</f>
        <v/>
      </c>
    </row>
    <row r="40">
      <c r="A40" s="59" t="n">
        <v>39</v>
      </c>
      <c r="B40" s="59">
        <f>INT((A40-1)/12)+1</f>
        <v/>
      </c>
      <c r="C40" s="59">
        <f>IF(A40&lt;'Hypothèses'!$C$28,0,MIN('Hypothèses'!$C$29,INT((A40-'Hypothèses'!$C$28)/'Hypothèses'!$C$27)+1))</f>
        <v/>
      </c>
      <c r="D40" s="59">
        <f>C40*'Hypothèses'!$C$26</f>
        <v/>
      </c>
      <c r="E40" s="59">
        <f>IF((A40-'Hypothèses'!$C$11*12)&lt;'Hypothèses'!$C$28,0,MIN('Hypothèses'!$C$29,INT((A40-'Hypothèses'!$C$11*12-'Hypothèses'!$C$28)/'Hypothèses'!$C$27)+1))</f>
        <v/>
      </c>
      <c r="F40" s="59">
        <f>(C40-E40)*'Hypothèses'!$C$26</f>
        <v/>
      </c>
      <c r="G40" s="59">
        <f>'Hypothèses'!$C$20*(1+'Hypothèses'!$C$21)^(B40-1)</f>
        <v/>
      </c>
      <c r="H40" s="59">
        <f>D40*'Hypothèses'!$C$19*(365/12)*G40*'Hypothèses'!$C$22</f>
        <v/>
      </c>
      <c r="I40" s="59">
        <f>D40*'Hypothèses'!$C$14</f>
        <v/>
      </c>
      <c r="J40" s="59">
        <f>F40*'Hypothèses'!$C$12</f>
        <v/>
      </c>
      <c r="K40" s="59">
        <f>MAX(1,ROUNDUP(D40/'Hypothèses'!$C$40,0))</f>
        <v/>
      </c>
      <c r="L40" s="59">
        <f>MIN('Hypothèses'!$C$35*(1+'Hypothèses'!$C$36)^(B40-1),'Hypothèses'!$C$37)</f>
        <v/>
      </c>
      <c r="M40" s="59">
        <f>'Hypothèses'!$C$38*(1+'Hypothèses'!$C$39)^(B40-1)</f>
        <v/>
      </c>
      <c r="N40" s="59">
        <f>('Hypothèses'!$C$34*L40+K40*M40)*(1+'Hypothèses'!$C$41)</f>
        <v/>
      </c>
      <c r="O40" s="59">
        <f>'Hypothèses'!$C$42*(1+'Hypothèses'!$C$43)^(B40-1)</f>
        <v/>
      </c>
      <c r="P40" s="59">
        <f>'Hypothèses'!$C$44*(1+'Hypothèses'!$C$45)^(B40-1)</f>
        <v/>
      </c>
      <c r="Q40" s="59">
        <f>IF(A40&lt;='Hypothèses'!$C$50,'Hypothèses'!$C$51,0)</f>
        <v/>
      </c>
      <c r="R40" s="59">
        <f>H40-I40-J40-N40-O40-P40-Q40</f>
        <v/>
      </c>
      <c r="S40" s="59">
        <f>IF(AND(MOD(A40,12)=6,A40&gt;=18),MAX(0,SUMIF($B$2:$B$85,B40-1,$R$2:$R$85))*'Hypothèses'!$C$54,0)</f>
        <v/>
      </c>
      <c r="T40" s="59">
        <f>T39+R40-S40</f>
        <v/>
      </c>
    </row>
    <row r="41">
      <c r="A41" s="59" t="n">
        <v>40</v>
      </c>
      <c r="B41" s="59">
        <f>INT((A41-1)/12)+1</f>
        <v/>
      </c>
      <c r="C41" s="59">
        <f>IF(A41&lt;'Hypothèses'!$C$28,0,MIN('Hypothèses'!$C$29,INT((A41-'Hypothèses'!$C$28)/'Hypothèses'!$C$27)+1))</f>
        <v/>
      </c>
      <c r="D41" s="59">
        <f>C41*'Hypothèses'!$C$26</f>
        <v/>
      </c>
      <c r="E41" s="59">
        <f>IF((A41-'Hypothèses'!$C$11*12)&lt;'Hypothèses'!$C$28,0,MIN('Hypothèses'!$C$29,INT((A41-'Hypothèses'!$C$11*12-'Hypothèses'!$C$28)/'Hypothèses'!$C$27)+1))</f>
        <v/>
      </c>
      <c r="F41" s="59">
        <f>(C41-E41)*'Hypothèses'!$C$26</f>
        <v/>
      </c>
      <c r="G41" s="59">
        <f>'Hypothèses'!$C$20*(1+'Hypothèses'!$C$21)^(B41-1)</f>
        <v/>
      </c>
      <c r="H41" s="59">
        <f>D41*'Hypothèses'!$C$19*(365/12)*G41*'Hypothèses'!$C$22</f>
        <v/>
      </c>
      <c r="I41" s="59">
        <f>D41*'Hypothèses'!$C$14</f>
        <v/>
      </c>
      <c r="J41" s="59">
        <f>F41*'Hypothèses'!$C$12</f>
        <v/>
      </c>
      <c r="K41" s="59">
        <f>MAX(1,ROUNDUP(D41/'Hypothèses'!$C$40,0))</f>
        <v/>
      </c>
      <c r="L41" s="59">
        <f>MIN('Hypothèses'!$C$35*(1+'Hypothèses'!$C$36)^(B41-1),'Hypothèses'!$C$37)</f>
        <v/>
      </c>
      <c r="M41" s="59">
        <f>'Hypothèses'!$C$38*(1+'Hypothèses'!$C$39)^(B41-1)</f>
        <v/>
      </c>
      <c r="N41" s="59">
        <f>('Hypothèses'!$C$34*L41+K41*M41)*(1+'Hypothèses'!$C$41)</f>
        <v/>
      </c>
      <c r="O41" s="59">
        <f>'Hypothèses'!$C$42*(1+'Hypothèses'!$C$43)^(B41-1)</f>
        <v/>
      </c>
      <c r="P41" s="59">
        <f>'Hypothèses'!$C$44*(1+'Hypothèses'!$C$45)^(B41-1)</f>
        <v/>
      </c>
      <c r="Q41" s="59">
        <f>IF(A41&lt;='Hypothèses'!$C$50,'Hypothèses'!$C$51,0)</f>
        <v/>
      </c>
      <c r="R41" s="59">
        <f>H41-I41-J41-N41-O41-P41-Q41</f>
        <v/>
      </c>
      <c r="S41" s="59">
        <f>IF(AND(MOD(A41,12)=6,A41&gt;=18),MAX(0,SUMIF($B$2:$B$85,B41-1,$R$2:$R$85))*'Hypothèses'!$C$54,0)</f>
        <v/>
      </c>
      <c r="T41" s="59">
        <f>T40+R41-S41</f>
        <v/>
      </c>
    </row>
    <row r="42">
      <c r="A42" s="59" t="n">
        <v>41</v>
      </c>
      <c r="B42" s="59">
        <f>INT((A42-1)/12)+1</f>
        <v/>
      </c>
      <c r="C42" s="59">
        <f>IF(A42&lt;'Hypothèses'!$C$28,0,MIN('Hypothèses'!$C$29,INT((A42-'Hypothèses'!$C$28)/'Hypothèses'!$C$27)+1))</f>
        <v/>
      </c>
      <c r="D42" s="59">
        <f>C42*'Hypothèses'!$C$26</f>
        <v/>
      </c>
      <c r="E42" s="59">
        <f>IF((A42-'Hypothèses'!$C$11*12)&lt;'Hypothèses'!$C$28,0,MIN('Hypothèses'!$C$29,INT((A42-'Hypothèses'!$C$11*12-'Hypothèses'!$C$28)/'Hypothèses'!$C$27)+1))</f>
        <v/>
      </c>
      <c r="F42" s="59">
        <f>(C42-E42)*'Hypothèses'!$C$26</f>
        <v/>
      </c>
      <c r="G42" s="59">
        <f>'Hypothèses'!$C$20*(1+'Hypothèses'!$C$21)^(B42-1)</f>
        <v/>
      </c>
      <c r="H42" s="59">
        <f>D42*'Hypothèses'!$C$19*(365/12)*G42*'Hypothèses'!$C$22</f>
        <v/>
      </c>
      <c r="I42" s="59">
        <f>D42*'Hypothèses'!$C$14</f>
        <v/>
      </c>
      <c r="J42" s="59">
        <f>F42*'Hypothèses'!$C$12</f>
        <v/>
      </c>
      <c r="K42" s="59">
        <f>MAX(1,ROUNDUP(D42/'Hypothèses'!$C$40,0))</f>
        <v/>
      </c>
      <c r="L42" s="59">
        <f>MIN('Hypothèses'!$C$35*(1+'Hypothèses'!$C$36)^(B42-1),'Hypothèses'!$C$37)</f>
        <v/>
      </c>
      <c r="M42" s="59">
        <f>'Hypothèses'!$C$38*(1+'Hypothèses'!$C$39)^(B42-1)</f>
        <v/>
      </c>
      <c r="N42" s="59">
        <f>('Hypothèses'!$C$34*L42+K42*M42)*(1+'Hypothèses'!$C$41)</f>
        <v/>
      </c>
      <c r="O42" s="59">
        <f>'Hypothèses'!$C$42*(1+'Hypothèses'!$C$43)^(B42-1)</f>
        <v/>
      </c>
      <c r="P42" s="59">
        <f>'Hypothèses'!$C$44*(1+'Hypothèses'!$C$45)^(B42-1)</f>
        <v/>
      </c>
      <c r="Q42" s="59">
        <f>IF(A42&lt;='Hypothèses'!$C$50,'Hypothèses'!$C$51,0)</f>
        <v/>
      </c>
      <c r="R42" s="59">
        <f>H42-I42-J42-N42-O42-P42-Q42</f>
        <v/>
      </c>
      <c r="S42" s="59">
        <f>IF(AND(MOD(A42,12)=6,A42&gt;=18),MAX(0,SUMIF($B$2:$B$85,B42-1,$R$2:$R$85))*'Hypothèses'!$C$54,0)</f>
        <v/>
      </c>
      <c r="T42" s="59">
        <f>T41+R42-S42</f>
        <v/>
      </c>
    </row>
    <row r="43">
      <c r="A43" s="59" t="n">
        <v>42</v>
      </c>
      <c r="B43" s="59">
        <f>INT((A43-1)/12)+1</f>
        <v/>
      </c>
      <c r="C43" s="59">
        <f>IF(A43&lt;'Hypothèses'!$C$28,0,MIN('Hypothèses'!$C$29,INT((A43-'Hypothèses'!$C$28)/'Hypothèses'!$C$27)+1))</f>
        <v/>
      </c>
      <c r="D43" s="59">
        <f>C43*'Hypothèses'!$C$26</f>
        <v/>
      </c>
      <c r="E43" s="59">
        <f>IF((A43-'Hypothèses'!$C$11*12)&lt;'Hypothèses'!$C$28,0,MIN('Hypothèses'!$C$29,INT((A43-'Hypothèses'!$C$11*12-'Hypothèses'!$C$28)/'Hypothèses'!$C$27)+1))</f>
        <v/>
      </c>
      <c r="F43" s="59">
        <f>(C43-E43)*'Hypothèses'!$C$26</f>
        <v/>
      </c>
      <c r="G43" s="59">
        <f>'Hypothèses'!$C$20*(1+'Hypothèses'!$C$21)^(B43-1)</f>
        <v/>
      </c>
      <c r="H43" s="59">
        <f>D43*'Hypothèses'!$C$19*(365/12)*G43*'Hypothèses'!$C$22</f>
        <v/>
      </c>
      <c r="I43" s="59">
        <f>D43*'Hypothèses'!$C$14</f>
        <v/>
      </c>
      <c r="J43" s="59">
        <f>F43*'Hypothèses'!$C$12</f>
        <v/>
      </c>
      <c r="K43" s="59">
        <f>MAX(1,ROUNDUP(D43/'Hypothèses'!$C$40,0))</f>
        <v/>
      </c>
      <c r="L43" s="59">
        <f>MIN('Hypothèses'!$C$35*(1+'Hypothèses'!$C$36)^(B43-1),'Hypothèses'!$C$37)</f>
        <v/>
      </c>
      <c r="M43" s="59">
        <f>'Hypothèses'!$C$38*(1+'Hypothèses'!$C$39)^(B43-1)</f>
        <v/>
      </c>
      <c r="N43" s="59">
        <f>('Hypothèses'!$C$34*L43+K43*M43)*(1+'Hypothèses'!$C$41)</f>
        <v/>
      </c>
      <c r="O43" s="59">
        <f>'Hypothèses'!$C$42*(1+'Hypothèses'!$C$43)^(B43-1)</f>
        <v/>
      </c>
      <c r="P43" s="59">
        <f>'Hypothèses'!$C$44*(1+'Hypothèses'!$C$45)^(B43-1)</f>
        <v/>
      </c>
      <c r="Q43" s="59">
        <f>IF(A43&lt;='Hypothèses'!$C$50,'Hypothèses'!$C$51,0)</f>
        <v/>
      </c>
      <c r="R43" s="59">
        <f>H43-I43-J43-N43-O43-P43-Q43</f>
        <v/>
      </c>
      <c r="S43" s="59">
        <f>IF(AND(MOD(A43,12)=6,A43&gt;=18),MAX(0,SUMIF($B$2:$B$85,B43-1,$R$2:$R$85))*'Hypothèses'!$C$54,0)</f>
        <v/>
      </c>
      <c r="T43" s="59">
        <f>T42+R43-S43</f>
        <v/>
      </c>
    </row>
    <row r="44">
      <c r="A44" s="59" t="n">
        <v>43</v>
      </c>
      <c r="B44" s="59">
        <f>INT((A44-1)/12)+1</f>
        <v/>
      </c>
      <c r="C44" s="59">
        <f>IF(A44&lt;'Hypothèses'!$C$28,0,MIN('Hypothèses'!$C$29,INT((A44-'Hypothèses'!$C$28)/'Hypothèses'!$C$27)+1))</f>
        <v/>
      </c>
      <c r="D44" s="59">
        <f>C44*'Hypothèses'!$C$26</f>
        <v/>
      </c>
      <c r="E44" s="59">
        <f>IF((A44-'Hypothèses'!$C$11*12)&lt;'Hypothèses'!$C$28,0,MIN('Hypothèses'!$C$29,INT((A44-'Hypothèses'!$C$11*12-'Hypothèses'!$C$28)/'Hypothèses'!$C$27)+1))</f>
        <v/>
      </c>
      <c r="F44" s="59">
        <f>(C44-E44)*'Hypothèses'!$C$26</f>
        <v/>
      </c>
      <c r="G44" s="59">
        <f>'Hypothèses'!$C$20*(1+'Hypothèses'!$C$21)^(B44-1)</f>
        <v/>
      </c>
      <c r="H44" s="59">
        <f>D44*'Hypothèses'!$C$19*(365/12)*G44*'Hypothèses'!$C$22</f>
        <v/>
      </c>
      <c r="I44" s="59">
        <f>D44*'Hypothèses'!$C$14</f>
        <v/>
      </c>
      <c r="J44" s="59">
        <f>F44*'Hypothèses'!$C$12</f>
        <v/>
      </c>
      <c r="K44" s="59">
        <f>MAX(1,ROUNDUP(D44/'Hypothèses'!$C$40,0))</f>
        <v/>
      </c>
      <c r="L44" s="59">
        <f>MIN('Hypothèses'!$C$35*(1+'Hypothèses'!$C$36)^(B44-1),'Hypothèses'!$C$37)</f>
        <v/>
      </c>
      <c r="M44" s="59">
        <f>'Hypothèses'!$C$38*(1+'Hypothèses'!$C$39)^(B44-1)</f>
        <v/>
      </c>
      <c r="N44" s="59">
        <f>('Hypothèses'!$C$34*L44+K44*M44)*(1+'Hypothèses'!$C$41)</f>
        <v/>
      </c>
      <c r="O44" s="59">
        <f>'Hypothèses'!$C$42*(1+'Hypothèses'!$C$43)^(B44-1)</f>
        <v/>
      </c>
      <c r="P44" s="59">
        <f>'Hypothèses'!$C$44*(1+'Hypothèses'!$C$45)^(B44-1)</f>
        <v/>
      </c>
      <c r="Q44" s="59">
        <f>IF(A44&lt;='Hypothèses'!$C$50,'Hypothèses'!$C$51,0)</f>
        <v/>
      </c>
      <c r="R44" s="59">
        <f>H44-I44-J44-N44-O44-P44-Q44</f>
        <v/>
      </c>
      <c r="S44" s="59">
        <f>IF(AND(MOD(A44,12)=6,A44&gt;=18),MAX(0,SUMIF($B$2:$B$85,B44-1,$R$2:$R$85))*'Hypothèses'!$C$54,0)</f>
        <v/>
      </c>
      <c r="T44" s="59">
        <f>T43+R44-S44</f>
        <v/>
      </c>
    </row>
    <row r="45">
      <c r="A45" s="59" t="n">
        <v>44</v>
      </c>
      <c r="B45" s="59">
        <f>INT((A45-1)/12)+1</f>
        <v/>
      </c>
      <c r="C45" s="59">
        <f>IF(A45&lt;'Hypothèses'!$C$28,0,MIN('Hypothèses'!$C$29,INT((A45-'Hypothèses'!$C$28)/'Hypothèses'!$C$27)+1))</f>
        <v/>
      </c>
      <c r="D45" s="59">
        <f>C45*'Hypothèses'!$C$26</f>
        <v/>
      </c>
      <c r="E45" s="59">
        <f>IF((A45-'Hypothèses'!$C$11*12)&lt;'Hypothèses'!$C$28,0,MIN('Hypothèses'!$C$29,INT((A45-'Hypothèses'!$C$11*12-'Hypothèses'!$C$28)/'Hypothèses'!$C$27)+1))</f>
        <v/>
      </c>
      <c r="F45" s="59">
        <f>(C45-E45)*'Hypothèses'!$C$26</f>
        <v/>
      </c>
      <c r="G45" s="59">
        <f>'Hypothèses'!$C$20*(1+'Hypothèses'!$C$21)^(B45-1)</f>
        <v/>
      </c>
      <c r="H45" s="59">
        <f>D45*'Hypothèses'!$C$19*(365/12)*G45*'Hypothèses'!$C$22</f>
        <v/>
      </c>
      <c r="I45" s="59">
        <f>D45*'Hypothèses'!$C$14</f>
        <v/>
      </c>
      <c r="J45" s="59">
        <f>F45*'Hypothèses'!$C$12</f>
        <v/>
      </c>
      <c r="K45" s="59">
        <f>MAX(1,ROUNDUP(D45/'Hypothèses'!$C$40,0))</f>
        <v/>
      </c>
      <c r="L45" s="59">
        <f>MIN('Hypothèses'!$C$35*(1+'Hypothèses'!$C$36)^(B45-1),'Hypothèses'!$C$37)</f>
        <v/>
      </c>
      <c r="M45" s="59">
        <f>'Hypothèses'!$C$38*(1+'Hypothèses'!$C$39)^(B45-1)</f>
        <v/>
      </c>
      <c r="N45" s="59">
        <f>('Hypothèses'!$C$34*L45+K45*M45)*(1+'Hypothèses'!$C$41)</f>
        <v/>
      </c>
      <c r="O45" s="59">
        <f>'Hypothèses'!$C$42*(1+'Hypothèses'!$C$43)^(B45-1)</f>
        <v/>
      </c>
      <c r="P45" s="59">
        <f>'Hypothèses'!$C$44*(1+'Hypothèses'!$C$45)^(B45-1)</f>
        <v/>
      </c>
      <c r="Q45" s="59">
        <f>IF(A45&lt;='Hypothèses'!$C$50,'Hypothèses'!$C$51,0)</f>
        <v/>
      </c>
      <c r="R45" s="59">
        <f>H45-I45-J45-N45-O45-P45-Q45</f>
        <v/>
      </c>
      <c r="S45" s="59">
        <f>IF(AND(MOD(A45,12)=6,A45&gt;=18),MAX(0,SUMIF($B$2:$B$85,B45-1,$R$2:$R$85))*'Hypothèses'!$C$54,0)</f>
        <v/>
      </c>
      <c r="T45" s="59">
        <f>T44+R45-S45</f>
        <v/>
      </c>
    </row>
    <row r="46">
      <c r="A46" s="59" t="n">
        <v>45</v>
      </c>
      <c r="B46" s="59">
        <f>INT((A46-1)/12)+1</f>
        <v/>
      </c>
      <c r="C46" s="59">
        <f>IF(A46&lt;'Hypothèses'!$C$28,0,MIN('Hypothèses'!$C$29,INT((A46-'Hypothèses'!$C$28)/'Hypothèses'!$C$27)+1))</f>
        <v/>
      </c>
      <c r="D46" s="59">
        <f>C46*'Hypothèses'!$C$26</f>
        <v/>
      </c>
      <c r="E46" s="59">
        <f>IF((A46-'Hypothèses'!$C$11*12)&lt;'Hypothèses'!$C$28,0,MIN('Hypothèses'!$C$29,INT((A46-'Hypothèses'!$C$11*12-'Hypothèses'!$C$28)/'Hypothèses'!$C$27)+1))</f>
        <v/>
      </c>
      <c r="F46" s="59">
        <f>(C46-E46)*'Hypothèses'!$C$26</f>
        <v/>
      </c>
      <c r="G46" s="59">
        <f>'Hypothèses'!$C$20*(1+'Hypothèses'!$C$21)^(B46-1)</f>
        <v/>
      </c>
      <c r="H46" s="59">
        <f>D46*'Hypothèses'!$C$19*(365/12)*G46*'Hypothèses'!$C$22</f>
        <v/>
      </c>
      <c r="I46" s="59">
        <f>D46*'Hypothèses'!$C$14</f>
        <v/>
      </c>
      <c r="J46" s="59">
        <f>F46*'Hypothèses'!$C$12</f>
        <v/>
      </c>
      <c r="K46" s="59">
        <f>MAX(1,ROUNDUP(D46/'Hypothèses'!$C$40,0))</f>
        <v/>
      </c>
      <c r="L46" s="59">
        <f>MIN('Hypothèses'!$C$35*(1+'Hypothèses'!$C$36)^(B46-1),'Hypothèses'!$C$37)</f>
        <v/>
      </c>
      <c r="M46" s="59">
        <f>'Hypothèses'!$C$38*(1+'Hypothèses'!$C$39)^(B46-1)</f>
        <v/>
      </c>
      <c r="N46" s="59">
        <f>('Hypothèses'!$C$34*L46+K46*M46)*(1+'Hypothèses'!$C$41)</f>
        <v/>
      </c>
      <c r="O46" s="59">
        <f>'Hypothèses'!$C$42*(1+'Hypothèses'!$C$43)^(B46-1)</f>
        <v/>
      </c>
      <c r="P46" s="59">
        <f>'Hypothèses'!$C$44*(1+'Hypothèses'!$C$45)^(B46-1)</f>
        <v/>
      </c>
      <c r="Q46" s="59">
        <f>IF(A46&lt;='Hypothèses'!$C$50,'Hypothèses'!$C$51,0)</f>
        <v/>
      </c>
      <c r="R46" s="59">
        <f>H46-I46-J46-N46-O46-P46-Q46</f>
        <v/>
      </c>
      <c r="S46" s="59">
        <f>IF(AND(MOD(A46,12)=6,A46&gt;=18),MAX(0,SUMIF($B$2:$B$85,B46-1,$R$2:$R$85))*'Hypothèses'!$C$54,0)</f>
        <v/>
      </c>
      <c r="T46" s="59">
        <f>T45+R46-S46</f>
        <v/>
      </c>
    </row>
    <row r="47">
      <c r="A47" s="59" t="n">
        <v>46</v>
      </c>
      <c r="B47" s="59">
        <f>INT((A47-1)/12)+1</f>
        <v/>
      </c>
      <c r="C47" s="59">
        <f>IF(A47&lt;'Hypothèses'!$C$28,0,MIN('Hypothèses'!$C$29,INT((A47-'Hypothèses'!$C$28)/'Hypothèses'!$C$27)+1))</f>
        <v/>
      </c>
      <c r="D47" s="59">
        <f>C47*'Hypothèses'!$C$26</f>
        <v/>
      </c>
      <c r="E47" s="59">
        <f>IF((A47-'Hypothèses'!$C$11*12)&lt;'Hypothèses'!$C$28,0,MIN('Hypothèses'!$C$29,INT((A47-'Hypothèses'!$C$11*12-'Hypothèses'!$C$28)/'Hypothèses'!$C$27)+1))</f>
        <v/>
      </c>
      <c r="F47" s="59">
        <f>(C47-E47)*'Hypothèses'!$C$26</f>
        <v/>
      </c>
      <c r="G47" s="59">
        <f>'Hypothèses'!$C$20*(1+'Hypothèses'!$C$21)^(B47-1)</f>
        <v/>
      </c>
      <c r="H47" s="59">
        <f>D47*'Hypothèses'!$C$19*(365/12)*G47*'Hypothèses'!$C$22</f>
        <v/>
      </c>
      <c r="I47" s="59">
        <f>D47*'Hypothèses'!$C$14</f>
        <v/>
      </c>
      <c r="J47" s="59">
        <f>F47*'Hypothèses'!$C$12</f>
        <v/>
      </c>
      <c r="K47" s="59">
        <f>MAX(1,ROUNDUP(D47/'Hypothèses'!$C$40,0))</f>
        <v/>
      </c>
      <c r="L47" s="59">
        <f>MIN('Hypothèses'!$C$35*(1+'Hypothèses'!$C$36)^(B47-1),'Hypothèses'!$C$37)</f>
        <v/>
      </c>
      <c r="M47" s="59">
        <f>'Hypothèses'!$C$38*(1+'Hypothèses'!$C$39)^(B47-1)</f>
        <v/>
      </c>
      <c r="N47" s="59">
        <f>('Hypothèses'!$C$34*L47+K47*M47)*(1+'Hypothèses'!$C$41)</f>
        <v/>
      </c>
      <c r="O47" s="59">
        <f>'Hypothèses'!$C$42*(1+'Hypothèses'!$C$43)^(B47-1)</f>
        <v/>
      </c>
      <c r="P47" s="59">
        <f>'Hypothèses'!$C$44*(1+'Hypothèses'!$C$45)^(B47-1)</f>
        <v/>
      </c>
      <c r="Q47" s="59">
        <f>IF(A47&lt;='Hypothèses'!$C$50,'Hypothèses'!$C$51,0)</f>
        <v/>
      </c>
      <c r="R47" s="59">
        <f>H47-I47-J47-N47-O47-P47-Q47</f>
        <v/>
      </c>
      <c r="S47" s="59">
        <f>IF(AND(MOD(A47,12)=6,A47&gt;=18),MAX(0,SUMIF($B$2:$B$85,B47-1,$R$2:$R$85))*'Hypothèses'!$C$54,0)</f>
        <v/>
      </c>
      <c r="T47" s="59">
        <f>T46+R47-S47</f>
        <v/>
      </c>
    </row>
    <row r="48">
      <c r="A48" s="59" t="n">
        <v>47</v>
      </c>
      <c r="B48" s="59">
        <f>INT((A48-1)/12)+1</f>
        <v/>
      </c>
      <c r="C48" s="59">
        <f>IF(A48&lt;'Hypothèses'!$C$28,0,MIN('Hypothèses'!$C$29,INT((A48-'Hypothèses'!$C$28)/'Hypothèses'!$C$27)+1))</f>
        <v/>
      </c>
      <c r="D48" s="59">
        <f>C48*'Hypothèses'!$C$26</f>
        <v/>
      </c>
      <c r="E48" s="59">
        <f>IF((A48-'Hypothèses'!$C$11*12)&lt;'Hypothèses'!$C$28,0,MIN('Hypothèses'!$C$29,INT((A48-'Hypothèses'!$C$11*12-'Hypothèses'!$C$28)/'Hypothèses'!$C$27)+1))</f>
        <v/>
      </c>
      <c r="F48" s="59">
        <f>(C48-E48)*'Hypothèses'!$C$26</f>
        <v/>
      </c>
      <c r="G48" s="59">
        <f>'Hypothèses'!$C$20*(1+'Hypothèses'!$C$21)^(B48-1)</f>
        <v/>
      </c>
      <c r="H48" s="59">
        <f>D48*'Hypothèses'!$C$19*(365/12)*G48*'Hypothèses'!$C$22</f>
        <v/>
      </c>
      <c r="I48" s="59">
        <f>D48*'Hypothèses'!$C$14</f>
        <v/>
      </c>
      <c r="J48" s="59">
        <f>F48*'Hypothèses'!$C$12</f>
        <v/>
      </c>
      <c r="K48" s="59">
        <f>MAX(1,ROUNDUP(D48/'Hypothèses'!$C$40,0))</f>
        <v/>
      </c>
      <c r="L48" s="59">
        <f>MIN('Hypothèses'!$C$35*(1+'Hypothèses'!$C$36)^(B48-1),'Hypothèses'!$C$37)</f>
        <v/>
      </c>
      <c r="M48" s="59">
        <f>'Hypothèses'!$C$38*(1+'Hypothèses'!$C$39)^(B48-1)</f>
        <v/>
      </c>
      <c r="N48" s="59">
        <f>('Hypothèses'!$C$34*L48+K48*M48)*(1+'Hypothèses'!$C$41)</f>
        <v/>
      </c>
      <c r="O48" s="59">
        <f>'Hypothèses'!$C$42*(1+'Hypothèses'!$C$43)^(B48-1)</f>
        <v/>
      </c>
      <c r="P48" s="59">
        <f>'Hypothèses'!$C$44*(1+'Hypothèses'!$C$45)^(B48-1)</f>
        <v/>
      </c>
      <c r="Q48" s="59">
        <f>IF(A48&lt;='Hypothèses'!$C$50,'Hypothèses'!$C$51,0)</f>
        <v/>
      </c>
      <c r="R48" s="59">
        <f>H48-I48-J48-N48-O48-P48-Q48</f>
        <v/>
      </c>
      <c r="S48" s="59">
        <f>IF(AND(MOD(A48,12)=6,A48&gt;=18),MAX(0,SUMIF($B$2:$B$85,B48-1,$R$2:$R$85))*'Hypothèses'!$C$54,0)</f>
        <v/>
      </c>
      <c r="T48" s="59">
        <f>T47+R48-S48</f>
        <v/>
      </c>
    </row>
    <row r="49">
      <c r="A49" s="59" t="n">
        <v>48</v>
      </c>
      <c r="B49" s="59">
        <f>INT((A49-1)/12)+1</f>
        <v/>
      </c>
      <c r="C49" s="59">
        <f>IF(A49&lt;'Hypothèses'!$C$28,0,MIN('Hypothèses'!$C$29,INT((A49-'Hypothèses'!$C$28)/'Hypothèses'!$C$27)+1))</f>
        <v/>
      </c>
      <c r="D49" s="59">
        <f>C49*'Hypothèses'!$C$26</f>
        <v/>
      </c>
      <c r="E49" s="59">
        <f>IF((A49-'Hypothèses'!$C$11*12)&lt;'Hypothèses'!$C$28,0,MIN('Hypothèses'!$C$29,INT((A49-'Hypothèses'!$C$11*12-'Hypothèses'!$C$28)/'Hypothèses'!$C$27)+1))</f>
        <v/>
      </c>
      <c r="F49" s="59">
        <f>(C49-E49)*'Hypothèses'!$C$26</f>
        <v/>
      </c>
      <c r="G49" s="59">
        <f>'Hypothèses'!$C$20*(1+'Hypothèses'!$C$21)^(B49-1)</f>
        <v/>
      </c>
      <c r="H49" s="59">
        <f>D49*'Hypothèses'!$C$19*(365/12)*G49*'Hypothèses'!$C$22</f>
        <v/>
      </c>
      <c r="I49" s="59">
        <f>D49*'Hypothèses'!$C$14</f>
        <v/>
      </c>
      <c r="J49" s="59">
        <f>F49*'Hypothèses'!$C$12</f>
        <v/>
      </c>
      <c r="K49" s="59">
        <f>MAX(1,ROUNDUP(D49/'Hypothèses'!$C$40,0))</f>
        <v/>
      </c>
      <c r="L49" s="59">
        <f>MIN('Hypothèses'!$C$35*(1+'Hypothèses'!$C$36)^(B49-1),'Hypothèses'!$C$37)</f>
        <v/>
      </c>
      <c r="M49" s="59">
        <f>'Hypothèses'!$C$38*(1+'Hypothèses'!$C$39)^(B49-1)</f>
        <v/>
      </c>
      <c r="N49" s="59">
        <f>('Hypothèses'!$C$34*L49+K49*M49)*(1+'Hypothèses'!$C$41)</f>
        <v/>
      </c>
      <c r="O49" s="59">
        <f>'Hypothèses'!$C$42*(1+'Hypothèses'!$C$43)^(B49-1)</f>
        <v/>
      </c>
      <c r="P49" s="59">
        <f>'Hypothèses'!$C$44*(1+'Hypothèses'!$C$45)^(B49-1)</f>
        <v/>
      </c>
      <c r="Q49" s="59">
        <f>IF(A49&lt;='Hypothèses'!$C$50,'Hypothèses'!$C$51,0)</f>
        <v/>
      </c>
      <c r="R49" s="59">
        <f>H49-I49-J49-N49-O49-P49-Q49</f>
        <v/>
      </c>
      <c r="S49" s="59">
        <f>IF(AND(MOD(A49,12)=6,A49&gt;=18),MAX(0,SUMIF($B$2:$B$85,B49-1,$R$2:$R$85))*'Hypothèses'!$C$54,0)</f>
        <v/>
      </c>
      <c r="T49" s="59">
        <f>T48+R49-S49</f>
        <v/>
      </c>
    </row>
    <row r="50">
      <c r="A50" s="59" t="n">
        <v>49</v>
      </c>
      <c r="B50" s="59">
        <f>INT((A50-1)/12)+1</f>
        <v/>
      </c>
      <c r="C50" s="59">
        <f>IF(A50&lt;'Hypothèses'!$C$28,0,MIN('Hypothèses'!$C$29,INT((A50-'Hypothèses'!$C$28)/'Hypothèses'!$C$27)+1))</f>
        <v/>
      </c>
      <c r="D50" s="59">
        <f>C50*'Hypothèses'!$C$26</f>
        <v/>
      </c>
      <c r="E50" s="59">
        <f>IF((A50-'Hypothèses'!$C$11*12)&lt;'Hypothèses'!$C$28,0,MIN('Hypothèses'!$C$29,INT((A50-'Hypothèses'!$C$11*12-'Hypothèses'!$C$28)/'Hypothèses'!$C$27)+1))</f>
        <v/>
      </c>
      <c r="F50" s="59">
        <f>(C50-E50)*'Hypothèses'!$C$26</f>
        <v/>
      </c>
      <c r="G50" s="59">
        <f>'Hypothèses'!$C$20*(1+'Hypothèses'!$C$21)^(B50-1)</f>
        <v/>
      </c>
      <c r="H50" s="59">
        <f>D50*'Hypothèses'!$C$19*(365/12)*G50*'Hypothèses'!$C$22</f>
        <v/>
      </c>
      <c r="I50" s="59">
        <f>D50*'Hypothèses'!$C$14</f>
        <v/>
      </c>
      <c r="J50" s="59">
        <f>F50*'Hypothèses'!$C$12</f>
        <v/>
      </c>
      <c r="K50" s="59">
        <f>MAX(1,ROUNDUP(D50/'Hypothèses'!$C$40,0))</f>
        <v/>
      </c>
      <c r="L50" s="59">
        <f>MIN('Hypothèses'!$C$35*(1+'Hypothèses'!$C$36)^(B50-1),'Hypothèses'!$C$37)</f>
        <v/>
      </c>
      <c r="M50" s="59">
        <f>'Hypothèses'!$C$38*(1+'Hypothèses'!$C$39)^(B50-1)</f>
        <v/>
      </c>
      <c r="N50" s="59">
        <f>('Hypothèses'!$C$34*L50+K50*M50)*(1+'Hypothèses'!$C$41)</f>
        <v/>
      </c>
      <c r="O50" s="59">
        <f>'Hypothèses'!$C$42*(1+'Hypothèses'!$C$43)^(B50-1)</f>
        <v/>
      </c>
      <c r="P50" s="59">
        <f>'Hypothèses'!$C$44*(1+'Hypothèses'!$C$45)^(B50-1)</f>
        <v/>
      </c>
      <c r="Q50" s="59">
        <f>IF(A50&lt;='Hypothèses'!$C$50,'Hypothèses'!$C$51,0)</f>
        <v/>
      </c>
      <c r="R50" s="59">
        <f>H50-I50-J50-N50-O50-P50-Q50</f>
        <v/>
      </c>
      <c r="S50" s="59">
        <f>IF(AND(MOD(A50,12)=6,A50&gt;=18),MAX(0,SUMIF($B$2:$B$85,B50-1,$R$2:$R$85))*'Hypothèses'!$C$54,0)</f>
        <v/>
      </c>
      <c r="T50" s="59">
        <f>T49+R50-S50</f>
        <v/>
      </c>
    </row>
    <row r="51">
      <c r="A51" s="59" t="n">
        <v>50</v>
      </c>
      <c r="B51" s="59">
        <f>INT((A51-1)/12)+1</f>
        <v/>
      </c>
      <c r="C51" s="59">
        <f>IF(A51&lt;'Hypothèses'!$C$28,0,MIN('Hypothèses'!$C$29,INT((A51-'Hypothèses'!$C$28)/'Hypothèses'!$C$27)+1))</f>
        <v/>
      </c>
      <c r="D51" s="59">
        <f>C51*'Hypothèses'!$C$26</f>
        <v/>
      </c>
      <c r="E51" s="59">
        <f>IF((A51-'Hypothèses'!$C$11*12)&lt;'Hypothèses'!$C$28,0,MIN('Hypothèses'!$C$29,INT((A51-'Hypothèses'!$C$11*12-'Hypothèses'!$C$28)/'Hypothèses'!$C$27)+1))</f>
        <v/>
      </c>
      <c r="F51" s="59">
        <f>(C51-E51)*'Hypothèses'!$C$26</f>
        <v/>
      </c>
      <c r="G51" s="59">
        <f>'Hypothèses'!$C$20*(1+'Hypothèses'!$C$21)^(B51-1)</f>
        <v/>
      </c>
      <c r="H51" s="59">
        <f>D51*'Hypothèses'!$C$19*(365/12)*G51*'Hypothèses'!$C$22</f>
        <v/>
      </c>
      <c r="I51" s="59">
        <f>D51*'Hypothèses'!$C$14</f>
        <v/>
      </c>
      <c r="J51" s="59">
        <f>F51*'Hypothèses'!$C$12</f>
        <v/>
      </c>
      <c r="K51" s="59">
        <f>MAX(1,ROUNDUP(D51/'Hypothèses'!$C$40,0))</f>
        <v/>
      </c>
      <c r="L51" s="59">
        <f>MIN('Hypothèses'!$C$35*(1+'Hypothèses'!$C$36)^(B51-1),'Hypothèses'!$C$37)</f>
        <v/>
      </c>
      <c r="M51" s="59">
        <f>'Hypothèses'!$C$38*(1+'Hypothèses'!$C$39)^(B51-1)</f>
        <v/>
      </c>
      <c r="N51" s="59">
        <f>('Hypothèses'!$C$34*L51+K51*M51)*(1+'Hypothèses'!$C$41)</f>
        <v/>
      </c>
      <c r="O51" s="59">
        <f>'Hypothèses'!$C$42*(1+'Hypothèses'!$C$43)^(B51-1)</f>
        <v/>
      </c>
      <c r="P51" s="59">
        <f>'Hypothèses'!$C$44*(1+'Hypothèses'!$C$45)^(B51-1)</f>
        <v/>
      </c>
      <c r="Q51" s="59">
        <f>IF(A51&lt;='Hypothèses'!$C$50,'Hypothèses'!$C$51,0)</f>
        <v/>
      </c>
      <c r="R51" s="59">
        <f>H51-I51-J51-N51-O51-P51-Q51</f>
        <v/>
      </c>
      <c r="S51" s="59">
        <f>IF(AND(MOD(A51,12)=6,A51&gt;=18),MAX(0,SUMIF($B$2:$B$85,B51-1,$R$2:$R$85))*'Hypothèses'!$C$54,0)</f>
        <v/>
      </c>
      <c r="T51" s="59">
        <f>T50+R51-S51</f>
        <v/>
      </c>
    </row>
    <row r="52">
      <c r="A52" s="59" t="n">
        <v>51</v>
      </c>
      <c r="B52" s="59">
        <f>INT((A52-1)/12)+1</f>
        <v/>
      </c>
      <c r="C52" s="59">
        <f>IF(A52&lt;'Hypothèses'!$C$28,0,MIN('Hypothèses'!$C$29,INT((A52-'Hypothèses'!$C$28)/'Hypothèses'!$C$27)+1))</f>
        <v/>
      </c>
      <c r="D52" s="59">
        <f>C52*'Hypothèses'!$C$26</f>
        <v/>
      </c>
      <c r="E52" s="59">
        <f>IF((A52-'Hypothèses'!$C$11*12)&lt;'Hypothèses'!$C$28,0,MIN('Hypothèses'!$C$29,INT((A52-'Hypothèses'!$C$11*12-'Hypothèses'!$C$28)/'Hypothèses'!$C$27)+1))</f>
        <v/>
      </c>
      <c r="F52" s="59">
        <f>(C52-E52)*'Hypothèses'!$C$26</f>
        <v/>
      </c>
      <c r="G52" s="59">
        <f>'Hypothèses'!$C$20*(1+'Hypothèses'!$C$21)^(B52-1)</f>
        <v/>
      </c>
      <c r="H52" s="59">
        <f>D52*'Hypothèses'!$C$19*(365/12)*G52*'Hypothèses'!$C$22</f>
        <v/>
      </c>
      <c r="I52" s="59">
        <f>D52*'Hypothèses'!$C$14</f>
        <v/>
      </c>
      <c r="J52" s="59">
        <f>F52*'Hypothèses'!$C$12</f>
        <v/>
      </c>
      <c r="K52" s="59">
        <f>MAX(1,ROUNDUP(D52/'Hypothèses'!$C$40,0))</f>
        <v/>
      </c>
      <c r="L52" s="59">
        <f>MIN('Hypothèses'!$C$35*(1+'Hypothèses'!$C$36)^(B52-1),'Hypothèses'!$C$37)</f>
        <v/>
      </c>
      <c r="M52" s="59">
        <f>'Hypothèses'!$C$38*(1+'Hypothèses'!$C$39)^(B52-1)</f>
        <v/>
      </c>
      <c r="N52" s="59">
        <f>('Hypothèses'!$C$34*L52+K52*M52)*(1+'Hypothèses'!$C$41)</f>
        <v/>
      </c>
      <c r="O52" s="59">
        <f>'Hypothèses'!$C$42*(1+'Hypothèses'!$C$43)^(B52-1)</f>
        <v/>
      </c>
      <c r="P52" s="59">
        <f>'Hypothèses'!$C$44*(1+'Hypothèses'!$C$45)^(B52-1)</f>
        <v/>
      </c>
      <c r="Q52" s="59">
        <f>IF(A52&lt;='Hypothèses'!$C$50,'Hypothèses'!$C$51,0)</f>
        <v/>
      </c>
      <c r="R52" s="59">
        <f>H52-I52-J52-N52-O52-P52-Q52</f>
        <v/>
      </c>
      <c r="S52" s="59">
        <f>IF(AND(MOD(A52,12)=6,A52&gt;=18),MAX(0,SUMIF($B$2:$B$85,B52-1,$R$2:$R$85))*'Hypothèses'!$C$54,0)</f>
        <v/>
      </c>
      <c r="T52" s="59">
        <f>T51+R52-S52</f>
        <v/>
      </c>
    </row>
    <row r="53">
      <c r="A53" s="59" t="n">
        <v>52</v>
      </c>
      <c r="B53" s="59">
        <f>INT((A53-1)/12)+1</f>
        <v/>
      </c>
      <c r="C53" s="59">
        <f>IF(A53&lt;'Hypothèses'!$C$28,0,MIN('Hypothèses'!$C$29,INT((A53-'Hypothèses'!$C$28)/'Hypothèses'!$C$27)+1))</f>
        <v/>
      </c>
      <c r="D53" s="59">
        <f>C53*'Hypothèses'!$C$26</f>
        <v/>
      </c>
      <c r="E53" s="59">
        <f>IF((A53-'Hypothèses'!$C$11*12)&lt;'Hypothèses'!$C$28,0,MIN('Hypothèses'!$C$29,INT((A53-'Hypothèses'!$C$11*12-'Hypothèses'!$C$28)/'Hypothèses'!$C$27)+1))</f>
        <v/>
      </c>
      <c r="F53" s="59">
        <f>(C53-E53)*'Hypothèses'!$C$26</f>
        <v/>
      </c>
      <c r="G53" s="59">
        <f>'Hypothèses'!$C$20*(1+'Hypothèses'!$C$21)^(B53-1)</f>
        <v/>
      </c>
      <c r="H53" s="59">
        <f>D53*'Hypothèses'!$C$19*(365/12)*G53*'Hypothèses'!$C$22</f>
        <v/>
      </c>
      <c r="I53" s="59">
        <f>D53*'Hypothèses'!$C$14</f>
        <v/>
      </c>
      <c r="J53" s="59">
        <f>F53*'Hypothèses'!$C$12</f>
        <v/>
      </c>
      <c r="K53" s="59">
        <f>MAX(1,ROUNDUP(D53/'Hypothèses'!$C$40,0))</f>
        <v/>
      </c>
      <c r="L53" s="59">
        <f>MIN('Hypothèses'!$C$35*(1+'Hypothèses'!$C$36)^(B53-1),'Hypothèses'!$C$37)</f>
        <v/>
      </c>
      <c r="M53" s="59">
        <f>'Hypothèses'!$C$38*(1+'Hypothèses'!$C$39)^(B53-1)</f>
        <v/>
      </c>
      <c r="N53" s="59">
        <f>('Hypothèses'!$C$34*L53+K53*M53)*(1+'Hypothèses'!$C$41)</f>
        <v/>
      </c>
      <c r="O53" s="59">
        <f>'Hypothèses'!$C$42*(1+'Hypothèses'!$C$43)^(B53-1)</f>
        <v/>
      </c>
      <c r="P53" s="59">
        <f>'Hypothèses'!$C$44*(1+'Hypothèses'!$C$45)^(B53-1)</f>
        <v/>
      </c>
      <c r="Q53" s="59">
        <f>IF(A53&lt;='Hypothèses'!$C$50,'Hypothèses'!$C$51,0)</f>
        <v/>
      </c>
      <c r="R53" s="59">
        <f>H53-I53-J53-N53-O53-P53-Q53</f>
        <v/>
      </c>
      <c r="S53" s="59">
        <f>IF(AND(MOD(A53,12)=6,A53&gt;=18),MAX(0,SUMIF($B$2:$B$85,B53-1,$R$2:$R$85))*'Hypothèses'!$C$54,0)</f>
        <v/>
      </c>
      <c r="T53" s="59">
        <f>T52+R53-S53</f>
        <v/>
      </c>
    </row>
    <row r="54">
      <c r="A54" s="59" t="n">
        <v>53</v>
      </c>
      <c r="B54" s="59">
        <f>INT((A54-1)/12)+1</f>
        <v/>
      </c>
      <c r="C54" s="59">
        <f>IF(A54&lt;'Hypothèses'!$C$28,0,MIN('Hypothèses'!$C$29,INT((A54-'Hypothèses'!$C$28)/'Hypothèses'!$C$27)+1))</f>
        <v/>
      </c>
      <c r="D54" s="59">
        <f>C54*'Hypothèses'!$C$26</f>
        <v/>
      </c>
      <c r="E54" s="59">
        <f>IF((A54-'Hypothèses'!$C$11*12)&lt;'Hypothèses'!$C$28,0,MIN('Hypothèses'!$C$29,INT((A54-'Hypothèses'!$C$11*12-'Hypothèses'!$C$28)/'Hypothèses'!$C$27)+1))</f>
        <v/>
      </c>
      <c r="F54" s="59">
        <f>(C54-E54)*'Hypothèses'!$C$26</f>
        <v/>
      </c>
      <c r="G54" s="59">
        <f>'Hypothèses'!$C$20*(1+'Hypothèses'!$C$21)^(B54-1)</f>
        <v/>
      </c>
      <c r="H54" s="59">
        <f>D54*'Hypothèses'!$C$19*(365/12)*G54*'Hypothèses'!$C$22</f>
        <v/>
      </c>
      <c r="I54" s="59">
        <f>D54*'Hypothèses'!$C$14</f>
        <v/>
      </c>
      <c r="J54" s="59">
        <f>F54*'Hypothèses'!$C$12</f>
        <v/>
      </c>
      <c r="K54" s="59">
        <f>MAX(1,ROUNDUP(D54/'Hypothèses'!$C$40,0))</f>
        <v/>
      </c>
      <c r="L54" s="59">
        <f>MIN('Hypothèses'!$C$35*(1+'Hypothèses'!$C$36)^(B54-1),'Hypothèses'!$C$37)</f>
        <v/>
      </c>
      <c r="M54" s="59">
        <f>'Hypothèses'!$C$38*(1+'Hypothèses'!$C$39)^(B54-1)</f>
        <v/>
      </c>
      <c r="N54" s="59">
        <f>('Hypothèses'!$C$34*L54+K54*M54)*(1+'Hypothèses'!$C$41)</f>
        <v/>
      </c>
      <c r="O54" s="59">
        <f>'Hypothèses'!$C$42*(1+'Hypothèses'!$C$43)^(B54-1)</f>
        <v/>
      </c>
      <c r="P54" s="59">
        <f>'Hypothèses'!$C$44*(1+'Hypothèses'!$C$45)^(B54-1)</f>
        <v/>
      </c>
      <c r="Q54" s="59">
        <f>IF(A54&lt;='Hypothèses'!$C$50,'Hypothèses'!$C$51,0)</f>
        <v/>
      </c>
      <c r="R54" s="59">
        <f>H54-I54-J54-N54-O54-P54-Q54</f>
        <v/>
      </c>
      <c r="S54" s="59">
        <f>IF(AND(MOD(A54,12)=6,A54&gt;=18),MAX(0,SUMIF($B$2:$B$85,B54-1,$R$2:$R$85))*'Hypothèses'!$C$54,0)</f>
        <v/>
      </c>
      <c r="T54" s="59">
        <f>T53+R54-S54</f>
        <v/>
      </c>
    </row>
    <row r="55">
      <c r="A55" s="59" t="n">
        <v>54</v>
      </c>
      <c r="B55" s="59">
        <f>INT((A55-1)/12)+1</f>
        <v/>
      </c>
      <c r="C55" s="59">
        <f>IF(A55&lt;'Hypothèses'!$C$28,0,MIN('Hypothèses'!$C$29,INT((A55-'Hypothèses'!$C$28)/'Hypothèses'!$C$27)+1))</f>
        <v/>
      </c>
      <c r="D55" s="59">
        <f>C55*'Hypothèses'!$C$26</f>
        <v/>
      </c>
      <c r="E55" s="59">
        <f>IF((A55-'Hypothèses'!$C$11*12)&lt;'Hypothèses'!$C$28,0,MIN('Hypothèses'!$C$29,INT((A55-'Hypothèses'!$C$11*12-'Hypothèses'!$C$28)/'Hypothèses'!$C$27)+1))</f>
        <v/>
      </c>
      <c r="F55" s="59">
        <f>(C55-E55)*'Hypothèses'!$C$26</f>
        <v/>
      </c>
      <c r="G55" s="59">
        <f>'Hypothèses'!$C$20*(1+'Hypothèses'!$C$21)^(B55-1)</f>
        <v/>
      </c>
      <c r="H55" s="59">
        <f>D55*'Hypothèses'!$C$19*(365/12)*G55*'Hypothèses'!$C$22</f>
        <v/>
      </c>
      <c r="I55" s="59">
        <f>D55*'Hypothèses'!$C$14</f>
        <v/>
      </c>
      <c r="J55" s="59">
        <f>F55*'Hypothèses'!$C$12</f>
        <v/>
      </c>
      <c r="K55" s="59">
        <f>MAX(1,ROUNDUP(D55/'Hypothèses'!$C$40,0))</f>
        <v/>
      </c>
      <c r="L55" s="59">
        <f>MIN('Hypothèses'!$C$35*(1+'Hypothèses'!$C$36)^(B55-1),'Hypothèses'!$C$37)</f>
        <v/>
      </c>
      <c r="M55" s="59">
        <f>'Hypothèses'!$C$38*(1+'Hypothèses'!$C$39)^(B55-1)</f>
        <v/>
      </c>
      <c r="N55" s="59">
        <f>('Hypothèses'!$C$34*L55+K55*M55)*(1+'Hypothèses'!$C$41)</f>
        <v/>
      </c>
      <c r="O55" s="59">
        <f>'Hypothèses'!$C$42*(1+'Hypothèses'!$C$43)^(B55-1)</f>
        <v/>
      </c>
      <c r="P55" s="59">
        <f>'Hypothèses'!$C$44*(1+'Hypothèses'!$C$45)^(B55-1)</f>
        <v/>
      </c>
      <c r="Q55" s="59">
        <f>IF(A55&lt;='Hypothèses'!$C$50,'Hypothèses'!$C$51,0)</f>
        <v/>
      </c>
      <c r="R55" s="59">
        <f>H55-I55-J55-N55-O55-P55-Q55</f>
        <v/>
      </c>
      <c r="S55" s="59">
        <f>IF(AND(MOD(A55,12)=6,A55&gt;=18),MAX(0,SUMIF($B$2:$B$85,B55-1,$R$2:$R$85))*'Hypothèses'!$C$54,0)</f>
        <v/>
      </c>
      <c r="T55" s="59">
        <f>T54+R55-S55</f>
        <v/>
      </c>
    </row>
    <row r="56">
      <c r="A56" s="59" t="n">
        <v>55</v>
      </c>
      <c r="B56" s="59">
        <f>INT((A56-1)/12)+1</f>
        <v/>
      </c>
      <c r="C56" s="59">
        <f>IF(A56&lt;'Hypothèses'!$C$28,0,MIN('Hypothèses'!$C$29,INT((A56-'Hypothèses'!$C$28)/'Hypothèses'!$C$27)+1))</f>
        <v/>
      </c>
      <c r="D56" s="59">
        <f>C56*'Hypothèses'!$C$26</f>
        <v/>
      </c>
      <c r="E56" s="59">
        <f>IF((A56-'Hypothèses'!$C$11*12)&lt;'Hypothèses'!$C$28,0,MIN('Hypothèses'!$C$29,INT((A56-'Hypothèses'!$C$11*12-'Hypothèses'!$C$28)/'Hypothèses'!$C$27)+1))</f>
        <v/>
      </c>
      <c r="F56" s="59">
        <f>(C56-E56)*'Hypothèses'!$C$26</f>
        <v/>
      </c>
      <c r="G56" s="59">
        <f>'Hypothèses'!$C$20*(1+'Hypothèses'!$C$21)^(B56-1)</f>
        <v/>
      </c>
      <c r="H56" s="59">
        <f>D56*'Hypothèses'!$C$19*(365/12)*G56*'Hypothèses'!$C$22</f>
        <v/>
      </c>
      <c r="I56" s="59">
        <f>D56*'Hypothèses'!$C$14</f>
        <v/>
      </c>
      <c r="J56" s="59">
        <f>F56*'Hypothèses'!$C$12</f>
        <v/>
      </c>
      <c r="K56" s="59">
        <f>MAX(1,ROUNDUP(D56/'Hypothèses'!$C$40,0))</f>
        <v/>
      </c>
      <c r="L56" s="59">
        <f>MIN('Hypothèses'!$C$35*(1+'Hypothèses'!$C$36)^(B56-1),'Hypothèses'!$C$37)</f>
        <v/>
      </c>
      <c r="M56" s="59">
        <f>'Hypothèses'!$C$38*(1+'Hypothèses'!$C$39)^(B56-1)</f>
        <v/>
      </c>
      <c r="N56" s="59">
        <f>('Hypothèses'!$C$34*L56+K56*M56)*(1+'Hypothèses'!$C$41)</f>
        <v/>
      </c>
      <c r="O56" s="59">
        <f>'Hypothèses'!$C$42*(1+'Hypothèses'!$C$43)^(B56-1)</f>
        <v/>
      </c>
      <c r="P56" s="59">
        <f>'Hypothèses'!$C$44*(1+'Hypothèses'!$C$45)^(B56-1)</f>
        <v/>
      </c>
      <c r="Q56" s="59">
        <f>IF(A56&lt;='Hypothèses'!$C$50,'Hypothèses'!$C$51,0)</f>
        <v/>
      </c>
      <c r="R56" s="59">
        <f>H56-I56-J56-N56-O56-P56-Q56</f>
        <v/>
      </c>
      <c r="S56" s="59">
        <f>IF(AND(MOD(A56,12)=6,A56&gt;=18),MAX(0,SUMIF($B$2:$B$85,B56-1,$R$2:$R$85))*'Hypothèses'!$C$54,0)</f>
        <v/>
      </c>
      <c r="T56" s="59">
        <f>T55+R56-S56</f>
        <v/>
      </c>
    </row>
    <row r="57">
      <c r="A57" s="59" t="n">
        <v>56</v>
      </c>
      <c r="B57" s="59">
        <f>INT((A57-1)/12)+1</f>
        <v/>
      </c>
      <c r="C57" s="59">
        <f>IF(A57&lt;'Hypothèses'!$C$28,0,MIN('Hypothèses'!$C$29,INT((A57-'Hypothèses'!$C$28)/'Hypothèses'!$C$27)+1))</f>
        <v/>
      </c>
      <c r="D57" s="59">
        <f>C57*'Hypothèses'!$C$26</f>
        <v/>
      </c>
      <c r="E57" s="59">
        <f>IF((A57-'Hypothèses'!$C$11*12)&lt;'Hypothèses'!$C$28,0,MIN('Hypothèses'!$C$29,INT((A57-'Hypothèses'!$C$11*12-'Hypothèses'!$C$28)/'Hypothèses'!$C$27)+1))</f>
        <v/>
      </c>
      <c r="F57" s="59">
        <f>(C57-E57)*'Hypothèses'!$C$26</f>
        <v/>
      </c>
      <c r="G57" s="59">
        <f>'Hypothèses'!$C$20*(1+'Hypothèses'!$C$21)^(B57-1)</f>
        <v/>
      </c>
      <c r="H57" s="59">
        <f>D57*'Hypothèses'!$C$19*(365/12)*G57*'Hypothèses'!$C$22</f>
        <v/>
      </c>
      <c r="I57" s="59">
        <f>D57*'Hypothèses'!$C$14</f>
        <v/>
      </c>
      <c r="J57" s="59">
        <f>F57*'Hypothèses'!$C$12</f>
        <v/>
      </c>
      <c r="K57" s="59">
        <f>MAX(1,ROUNDUP(D57/'Hypothèses'!$C$40,0))</f>
        <v/>
      </c>
      <c r="L57" s="59">
        <f>MIN('Hypothèses'!$C$35*(1+'Hypothèses'!$C$36)^(B57-1),'Hypothèses'!$C$37)</f>
        <v/>
      </c>
      <c r="M57" s="59">
        <f>'Hypothèses'!$C$38*(1+'Hypothèses'!$C$39)^(B57-1)</f>
        <v/>
      </c>
      <c r="N57" s="59">
        <f>('Hypothèses'!$C$34*L57+K57*M57)*(1+'Hypothèses'!$C$41)</f>
        <v/>
      </c>
      <c r="O57" s="59">
        <f>'Hypothèses'!$C$42*(1+'Hypothèses'!$C$43)^(B57-1)</f>
        <v/>
      </c>
      <c r="P57" s="59">
        <f>'Hypothèses'!$C$44*(1+'Hypothèses'!$C$45)^(B57-1)</f>
        <v/>
      </c>
      <c r="Q57" s="59">
        <f>IF(A57&lt;='Hypothèses'!$C$50,'Hypothèses'!$C$51,0)</f>
        <v/>
      </c>
      <c r="R57" s="59">
        <f>H57-I57-J57-N57-O57-P57-Q57</f>
        <v/>
      </c>
      <c r="S57" s="59">
        <f>IF(AND(MOD(A57,12)=6,A57&gt;=18),MAX(0,SUMIF($B$2:$B$85,B57-1,$R$2:$R$85))*'Hypothèses'!$C$54,0)</f>
        <v/>
      </c>
      <c r="T57" s="59">
        <f>T56+R57-S57</f>
        <v/>
      </c>
    </row>
    <row r="58">
      <c r="A58" s="59" t="n">
        <v>57</v>
      </c>
      <c r="B58" s="59">
        <f>INT((A58-1)/12)+1</f>
        <v/>
      </c>
      <c r="C58" s="59">
        <f>IF(A58&lt;'Hypothèses'!$C$28,0,MIN('Hypothèses'!$C$29,INT((A58-'Hypothèses'!$C$28)/'Hypothèses'!$C$27)+1))</f>
        <v/>
      </c>
      <c r="D58" s="59">
        <f>C58*'Hypothèses'!$C$26</f>
        <v/>
      </c>
      <c r="E58" s="59">
        <f>IF((A58-'Hypothèses'!$C$11*12)&lt;'Hypothèses'!$C$28,0,MIN('Hypothèses'!$C$29,INT((A58-'Hypothèses'!$C$11*12-'Hypothèses'!$C$28)/'Hypothèses'!$C$27)+1))</f>
        <v/>
      </c>
      <c r="F58" s="59">
        <f>(C58-E58)*'Hypothèses'!$C$26</f>
        <v/>
      </c>
      <c r="G58" s="59">
        <f>'Hypothèses'!$C$20*(1+'Hypothèses'!$C$21)^(B58-1)</f>
        <v/>
      </c>
      <c r="H58" s="59">
        <f>D58*'Hypothèses'!$C$19*(365/12)*G58*'Hypothèses'!$C$22</f>
        <v/>
      </c>
      <c r="I58" s="59">
        <f>D58*'Hypothèses'!$C$14</f>
        <v/>
      </c>
      <c r="J58" s="59">
        <f>F58*'Hypothèses'!$C$12</f>
        <v/>
      </c>
      <c r="K58" s="59">
        <f>MAX(1,ROUNDUP(D58/'Hypothèses'!$C$40,0))</f>
        <v/>
      </c>
      <c r="L58" s="59">
        <f>MIN('Hypothèses'!$C$35*(1+'Hypothèses'!$C$36)^(B58-1),'Hypothèses'!$C$37)</f>
        <v/>
      </c>
      <c r="M58" s="59">
        <f>'Hypothèses'!$C$38*(1+'Hypothèses'!$C$39)^(B58-1)</f>
        <v/>
      </c>
      <c r="N58" s="59">
        <f>('Hypothèses'!$C$34*L58+K58*M58)*(1+'Hypothèses'!$C$41)</f>
        <v/>
      </c>
      <c r="O58" s="59">
        <f>'Hypothèses'!$C$42*(1+'Hypothèses'!$C$43)^(B58-1)</f>
        <v/>
      </c>
      <c r="P58" s="59">
        <f>'Hypothèses'!$C$44*(1+'Hypothèses'!$C$45)^(B58-1)</f>
        <v/>
      </c>
      <c r="Q58" s="59">
        <f>IF(A58&lt;='Hypothèses'!$C$50,'Hypothèses'!$C$51,0)</f>
        <v/>
      </c>
      <c r="R58" s="59">
        <f>H58-I58-J58-N58-O58-P58-Q58</f>
        <v/>
      </c>
      <c r="S58" s="59">
        <f>IF(AND(MOD(A58,12)=6,A58&gt;=18),MAX(0,SUMIF($B$2:$B$85,B58-1,$R$2:$R$85))*'Hypothèses'!$C$54,0)</f>
        <v/>
      </c>
      <c r="T58" s="59">
        <f>T57+R58-S58</f>
        <v/>
      </c>
    </row>
    <row r="59">
      <c r="A59" s="59" t="n">
        <v>58</v>
      </c>
      <c r="B59" s="59">
        <f>INT((A59-1)/12)+1</f>
        <v/>
      </c>
      <c r="C59" s="59">
        <f>IF(A59&lt;'Hypothèses'!$C$28,0,MIN('Hypothèses'!$C$29,INT((A59-'Hypothèses'!$C$28)/'Hypothèses'!$C$27)+1))</f>
        <v/>
      </c>
      <c r="D59" s="59">
        <f>C59*'Hypothèses'!$C$26</f>
        <v/>
      </c>
      <c r="E59" s="59">
        <f>IF((A59-'Hypothèses'!$C$11*12)&lt;'Hypothèses'!$C$28,0,MIN('Hypothèses'!$C$29,INT((A59-'Hypothèses'!$C$11*12-'Hypothèses'!$C$28)/'Hypothèses'!$C$27)+1))</f>
        <v/>
      </c>
      <c r="F59" s="59">
        <f>(C59-E59)*'Hypothèses'!$C$26</f>
        <v/>
      </c>
      <c r="G59" s="59">
        <f>'Hypothèses'!$C$20*(1+'Hypothèses'!$C$21)^(B59-1)</f>
        <v/>
      </c>
      <c r="H59" s="59">
        <f>D59*'Hypothèses'!$C$19*(365/12)*G59*'Hypothèses'!$C$22</f>
        <v/>
      </c>
      <c r="I59" s="59">
        <f>D59*'Hypothèses'!$C$14</f>
        <v/>
      </c>
      <c r="J59" s="59">
        <f>F59*'Hypothèses'!$C$12</f>
        <v/>
      </c>
      <c r="K59" s="59">
        <f>MAX(1,ROUNDUP(D59/'Hypothèses'!$C$40,0))</f>
        <v/>
      </c>
      <c r="L59" s="59">
        <f>MIN('Hypothèses'!$C$35*(1+'Hypothèses'!$C$36)^(B59-1),'Hypothèses'!$C$37)</f>
        <v/>
      </c>
      <c r="M59" s="59">
        <f>'Hypothèses'!$C$38*(1+'Hypothèses'!$C$39)^(B59-1)</f>
        <v/>
      </c>
      <c r="N59" s="59">
        <f>('Hypothèses'!$C$34*L59+K59*M59)*(1+'Hypothèses'!$C$41)</f>
        <v/>
      </c>
      <c r="O59" s="59">
        <f>'Hypothèses'!$C$42*(1+'Hypothèses'!$C$43)^(B59-1)</f>
        <v/>
      </c>
      <c r="P59" s="59">
        <f>'Hypothèses'!$C$44*(1+'Hypothèses'!$C$45)^(B59-1)</f>
        <v/>
      </c>
      <c r="Q59" s="59">
        <f>IF(A59&lt;='Hypothèses'!$C$50,'Hypothèses'!$C$51,0)</f>
        <v/>
      </c>
      <c r="R59" s="59">
        <f>H59-I59-J59-N59-O59-P59-Q59</f>
        <v/>
      </c>
      <c r="S59" s="59">
        <f>IF(AND(MOD(A59,12)=6,A59&gt;=18),MAX(0,SUMIF($B$2:$B$85,B59-1,$R$2:$R$85))*'Hypothèses'!$C$54,0)</f>
        <v/>
      </c>
      <c r="T59" s="59">
        <f>T58+R59-S59</f>
        <v/>
      </c>
    </row>
    <row r="60">
      <c r="A60" s="59" t="n">
        <v>59</v>
      </c>
      <c r="B60" s="59">
        <f>INT((A60-1)/12)+1</f>
        <v/>
      </c>
      <c r="C60" s="59">
        <f>IF(A60&lt;'Hypothèses'!$C$28,0,MIN('Hypothèses'!$C$29,INT((A60-'Hypothèses'!$C$28)/'Hypothèses'!$C$27)+1))</f>
        <v/>
      </c>
      <c r="D60" s="59">
        <f>C60*'Hypothèses'!$C$26</f>
        <v/>
      </c>
      <c r="E60" s="59">
        <f>IF((A60-'Hypothèses'!$C$11*12)&lt;'Hypothèses'!$C$28,0,MIN('Hypothèses'!$C$29,INT((A60-'Hypothèses'!$C$11*12-'Hypothèses'!$C$28)/'Hypothèses'!$C$27)+1))</f>
        <v/>
      </c>
      <c r="F60" s="59">
        <f>(C60-E60)*'Hypothèses'!$C$26</f>
        <v/>
      </c>
      <c r="G60" s="59">
        <f>'Hypothèses'!$C$20*(1+'Hypothèses'!$C$21)^(B60-1)</f>
        <v/>
      </c>
      <c r="H60" s="59">
        <f>D60*'Hypothèses'!$C$19*(365/12)*G60*'Hypothèses'!$C$22</f>
        <v/>
      </c>
      <c r="I60" s="59">
        <f>D60*'Hypothèses'!$C$14</f>
        <v/>
      </c>
      <c r="J60" s="59">
        <f>F60*'Hypothèses'!$C$12</f>
        <v/>
      </c>
      <c r="K60" s="59">
        <f>MAX(1,ROUNDUP(D60/'Hypothèses'!$C$40,0))</f>
        <v/>
      </c>
      <c r="L60" s="59">
        <f>MIN('Hypothèses'!$C$35*(1+'Hypothèses'!$C$36)^(B60-1),'Hypothèses'!$C$37)</f>
        <v/>
      </c>
      <c r="M60" s="59">
        <f>'Hypothèses'!$C$38*(1+'Hypothèses'!$C$39)^(B60-1)</f>
        <v/>
      </c>
      <c r="N60" s="59">
        <f>('Hypothèses'!$C$34*L60+K60*M60)*(1+'Hypothèses'!$C$41)</f>
        <v/>
      </c>
      <c r="O60" s="59">
        <f>'Hypothèses'!$C$42*(1+'Hypothèses'!$C$43)^(B60-1)</f>
        <v/>
      </c>
      <c r="P60" s="59">
        <f>'Hypothèses'!$C$44*(1+'Hypothèses'!$C$45)^(B60-1)</f>
        <v/>
      </c>
      <c r="Q60" s="59">
        <f>IF(A60&lt;='Hypothèses'!$C$50,'Hypothèses'!$C$51,0)</f>
        <v/>
      </c>
      <c r="R60" s="59">
        <f>H60-I60-J60-N60-O60-P60-Q60</f>
        <v/>
      </c>
      <c r="S60" s="59">
        <f>IF(AND(MOD(A60,12)=6,A60&gt;=18),MAX(0,SUMIF($B$2:$B$85,B60-1,$R$2:$R$85))*'Hypothèses'!$C$54,0)</f>
        <v/>
      </c>
      <c r="T60" s="59">
        <f>T59+R60-S60</f>
        <v/>
      </c>
    </row>
    <row r="61">
      <c r="A61" s="59" t="n">
        <v>60</v>
      </c>
      <c r="B61" s="59">
        <f>INT((A61-1)/12)+1</f>
        <v/>
      </c>
      <c r="C61" s="59">
        <f>IF(A61&lt;'Hypothèses'!$C$28,0,MIN('Hypothèses'!$C$29,INT((A61-'Hypothèses'!$C$28)/'Hypothèses'!$C$27)+1))</f>
        <v/>
      </c>
      <c r="D61" s="59">
        <f>C61*'Hypothèses'!$C$26</f>
        <v/>
      </c>
      <c r="E61" s="59">
        <f>IF((A61-'Hypothèses'!$C$11*12)&lt;'Hypothèses'!$C$28,0,MIN('Hypothèses'!$C$29,INT((A61-'Hypothèses'!$C$11*12-'Hypothèses'!$C$28)/'Hypothèses'!$C$27)+1))</f>
        <v/>
      </c>
      <c r="F61" s="59">
        <f>(C61-E61)*'Hypothèses'!$C$26</f>
        <v/>
      </c>
      <c r="G61" s="59">
        <f>'Hypothèses'!$C$20*(1+'Hypothèses'!$C$21)^(B61-1)</f>
        <v/>
      </c>
      <c r="H61" s="59">
        <f>D61*'Hypothèses'!$C$19*(365/12)*G61*'Hypothèses'!$C$22</f>
        <v/>
      </c>
      <c r="I61" s="59">
        <f>D61*'Hypothèses'!$C$14</f>
        <v/>
      </c>
      <c r="J61" s="59">
        <f>F61*'Hypothèses'!$C$12</f>
        <v/>
      </c>
      <c r="K61" s="59">
        <f>MAX(1,ROUNDUP(D61/'Hypothèses'!$C$40,0))</f>
        <v/>
      </c>
      <c r="L61" s="59">
        <f>MIN('Hypothèses'!$C$35*(1+'Hypothèses'!$C$36)^(B61-1),'Hypothèses'!$C$37)</f>
        <v/>
      </c>
      <c r="M61" s="59">
        <f>'Hypothèses'!$C$38*(1+'Hypothèses'!$C$39)^(B61-1)</f>
        <v/>
      </c>
      <c r="N61" s="59">
        <f>('Hypothèses'!$C$34*L61+K61*M61)*(1+'Hypothèses'!$C$41)</f>
        <v/>
      </c>
      <c r="O61" s="59">
        <f>'Hypothèses'!$C$42*(1+'Hypothèses'!$C$43)^(B61-1)</f>
        <v/>
      </c>
      <c r="P61" s="59">
        <f>'Hypothèses'!$C$44*(1+'Hypothèses'!$C$45)^(B61-1)</f>
        <v/>
      </c>
      <c r="Q61" s="59">
        <f>IF(A61&lt;='Hypothèses'!$C$50,'Hypothèses'!$C$51,0)</f>
        <v/>
      </c>
      <c r="R61" s="59">
        <f>H61-I61-J61-N61-O61-P61-Q61</f>
        <v/>
      </c>
      <c r="S61" s="59">
        <f>IF(AND(MOD(A61,12)=6,A61&gt;=18),MAX(0,SUMIF($B$2:$B$85,B61-1,$R$2:$R$85))*'Hypothèses'!$C$54,0)</f>
        <v/>
      </c>
      <c r="T61" s="59">
        <f>T60+R61-S61</f>
        <v/>
      </c>
    </row>
    <row r="62">
      <c r="A62" s="59" t="n">
        <v>61</v>
      </c>
      <c r="B62" s="59">
        <f>INT((A62-1)/12)+1</f>
        <v/>
      </c>
      <c r="C62" s="59">
        <f>IF(A62&lt;'Hypothèses'!$C$28,0,MIN('Hypothèses'!$C$29,INT((A62-'Hypothèses'!$C$28)/'Hypothèses'!$C$27)+1))</f>
        <v/>
      </c>
      <c r="D62" s="59">
        <f>C62*'Hypothèses'!$C$26</f>
        <v/>
      </c>
      <c r="E62" s="59">
        <f>IF((A62-'Hypothèses'!$C$11*12)&lt;'Hypothèses'!$C$28,0,MIN('Hypothèses'!$C$29,INT((A62-'Hypothèses'!$C$11*12-'Hypothèses'!$C$28)/'Hypothèses'!$C$27)+1))</f>
        <v/>
      </c>
      <c r="F62" s="59">
        <f>(C62-E62)*'Hypothèses'!$C$26</f>
        <v/>
      </c>
      <c r="G62" s="59">
        <f>'Hypothèses'!$C$20*(1+'Hypothèses'!$C$21)^(B62-1)</f>
        <v/>
      </c>
      <c r="H62" s="59">
        <f>D62*'Hypothèses'!$C$19*(365/12)*G62*'Hypothèses'!$C$22</f>
        <v/>
      </c>
      <c r="I62" s="59">
        <f>D62*'Hypothèses'!$C$14</f>
        <v/>
      </c>
      <c r="J62" s="59">
        <f>F62*'Hypothèses'!$C$12</f>
        <v/>
      </c>
      <c r="K62" s="59">
        <f>MAX(1,ROUNDUP(D62/'Hypothèses'!$C$40,0))</f>
        <v/>
      </c>
      <c r="L62" s="59">
        <f>MIN('Hypothèses'!$C$35*(1+'Hypothèses'!$C$36)^(B62-1),'Hypothèses'!$C$37)</f>
        <v/>
      </c>
      <c r="M62" s="59">
        <f>'Hypothèses'!$C$38*(1+'Hypothèses'!$C$39)^(B62-1)</f>
        <v/>
      </c>
      <c r="N62" s="59">
        <f>('Hypothèses'!$C$34*L62+K62*M62)*(1+'Hypothèses'!$C$41)</f>
        <v/>
      </c>
      <c r="O62" s="59">
        <f>'Hypothèses'!$C$42*(1+'Hypothèses'!$C$43)^(B62-1)</f>
        <v/>
      </c>
      <c r="P62" s="59">
        <f>'Hypothèses'!$C$44*(1+'Hypothèses'!$C$45)^(B62-1)</f>
        <v/>
      </c>
      <c r="Q62" s="59">
        <f>IF(A62&lt;='Hypothèses'!$C$50,'Hypothèses'!$C$51,0)</f>
        <v/>
      </c>
      <c r="R62" s="59">
        <f>H62-I62-J62-N62-O62-P62-Q62</f>
        <v/>
      </c>
      <c r="S62" s="59">
        <f>IF(AND(MOD(A62,12)=6,A62&gt;=18),MAX(0,SUMIF($B$2:$B$85,B62-1,$R$2:$R$85))*'Hypothèses'!$C$54,0)</f>
        <v/>
      </c>
      <c r="T62" s="59">
        <f>T61+R62-S62</f>
        <v/>
      </c>
    </row>
    <row r="63">
      <c r="A63" s="59" t="n">
        <v>62</v>
      </c>
      <c r="B63" s="59">
        <f>INT((A63-1)/12)+1</f>
        <v/>
      </c>
      <c r="C63" s="59">
        <f>IF(A63&lt;'Hypothèses'!$C$28,0,MIN('Hypothèses'!$C$29,INT((A63-'Hypothèses'!$C$28)/'Hypothèses'!$C$27)+1))</f>
        <v/>
      </c>
      <c r="D63" s="59">
        <f>C63*'Hypothèses'!$C$26</f>
        <v/>
      </c>
      <c r="E63" s="59">
        <f>IF((A63-'Hypothèses'!$C$11*12)&lt;'Hypothèses'!$C$28,0,MIN('Hypothèses'!$C$29,INT((A63-'Hypothèses'!$C$11*12-'Hypothèses'!$C$28)/'Hypothèses'!$C$27)+1))</f>
        <v/>
      </c>
      <c r="F63" s="59">
        <f>(C63-E63)*'Hypothèses'!$C$26</f>
        <v/>
      </c>
      <c r="G63" s="59">
        <f>'Hypothèses'!$C$20*(1+'Hypothèses'!$C$21)^(B63-1)</f>
        <v/>
      </c>
      <c r="H63" s="59">
        <f>D63*'Hypothèses'!$C$19*(365/12)*G63*'Hypothèses'!$C$22</f>
        <v/>
      </c>
      <c r="I63" s="59">
        <f>D63*'Hypothèses'!$C$14</f>
        <v/>
      </c>
      <c r="J63" s="59">
        <f>F63*'Hypothèses'!$C$12</f>
        <v/>
      </c>
      <c r="K63" s="59">
        <f>MAX(1,ROUNDUP(D63/'Hypothèses'!$C$40,0))</f>
        <v/>
      </c>
      <c r="L63" s="59">
        <f>MIN('Hypothèses'!$C$35*(1+'Hypothèses'!$C$36)^(B63-1),'Hypothèses'!$C$37)</f>
        <v/>
      </c>
      <c r="M63" s="59">
        <f>'Hypothèses'!$C$38*(1+'Hypothèses'!$C$39)^(B63-1)</f>
        <v/>
      </c>
      <c r="N63" s="59">
        <f>('Hypothèses'!$C$34*L63+K63*M63)*(1+'Hypothèses'!$C$41)</f>
        <v/>
      </c>
      <c r="O63" s="59">
        <f>'Hypothèses'!$C$42*(1+'Hypothèses'!$C$43)^(B63-1)</f>
        <v/>
      </c>
      <c r="P63" s="59">
        <f>'Hypothèses'!$C$44*(1+'Hypothèses'!$C$45)^(B63-1)</f>
        <v/>
      </c>
      <c r="Q63" s="59">
        <f>IF(A63&lt;='Hypothèses'!$C$50,'Hypothèses'!$C$51,0)</f>
        <v/>
      </c>
      <c r="R63" s="59">
        <f>H63-I63-J63-N63-O63-P63-Q63</f>
        <v/>
      </c>
      <c r="S63" s="59">
        <f>IF(AND(MOD(A63,12)=6,A63&gt;=18),MAX(0,SUMIF($B$2:$B$85,B63-1,$R$2:$R$85))*'Hypothèses'!$C$54,0)</f>
        <v/>
      </c>
      <c r="T63" s="59">
        <f>T62+R63-S63</f>
        <v/>
      </c>
    </row>
    <row r="64">
      <c r="A64" s="59" t="n">
        <v>63</v>
      </c>
      <c r="B64" s="59">
        <f>INT((A64-1)/12)+1</f>
        <v/>
      </c>
      <c r="C64" s="59">
        <f>IF(A64&lt;'Hypothèses'!$C$28,0,MIN('Hypothèses'!$C$29,INT((A64-'Hypothèses'!$C$28)/'Hypothèses'!$C$27)+1))</f>
        <v/>
      </c>
      <c r="D64" s="59">
        <f>C64*'Hypothèses'!$C$26</f>
        <v/>
      </c>
      <c r="E64" s="59">
        <f>IF((A64-'Hypothèses'!$C$11*12)&lt;'Hypothèses'!$C$28,0,MIN('Hypothèses'!$C$29,INT((A64-'Hypothèses'!$C$11*12-'Hypothèses'!$C$28)/'Hypothèses'!$C$27)+1))</f>
        <v/>
      </c>
      <c r="F64" s="59">
        <f>(C64-E64)*'Hypothèses'!$C$26</f>
        <v/>
      </c>
      <c r="G64" s="59">
        <f>'Hypothèses'!$C$20*(1+'Hypothèses'!$C$21)^(B64-1)</f>
        <v/>
      </c>
      <c r="H64" s="59">
        <f>D64*'Hypothèses'!$C$19*(365/12)*G64*'Hypothèses'!$C$22</f>
        <v/>
      </c>
      <c r="I64" s="59">
        <f>D64*'Hypothèses'!$C$14</f>
        <v/>
      </c>
      <c r="J64" s="59">
        <f>F64*'Hypothèses'!$C$12</f>
        <v/>
      </c>
      <c r="K64" s="59">
        <f>MAX(1,ROUNDUP(D64/'Hypothèses'!$C$40,0))</f>
        <v/>
      </c>
      <c r="L64" s="59">
        <f>MIN('Hypothèses'!$C$35*(1+'Hypothèses'!$C$36)^(B64-1),'Hypothèses'!$C$37)</f>
        <v/>
      </c>
      <c r="M64" s="59">
        <f>'Hypothèses'!$C$38*(1+'Hypothèses'!$C$39)^(B64-1)</f>
        <v/>
      </c>
      <c r="N64" s="59">
        <f>('Hypothèses'!$C$34*L64+K64*M64)*(1+'Hypothèses'!$C$41)</f>
        <v/>
      </c>
      <c r="O64" s="59">
        <f>'Hypothèses'!$C$42*(1+'Hypothèses'!$C$43)^(B64-1)</f>
        <v/>
      </c>
      <c r="P64" s="59">
        <f>'Hypothèses'!$C$44*(1+'Hypothèses'!$C$45)^(B64-1)</f>
        <v/>
      </c>
      <c r="Q64" s="59">
        <f>IF(A64&lt;='Hypothèses'!$C$50,'Hypothèses'!$C$51,0)</f>
        <v/>
      </c>
      <c r="R64" s="59">
        <f>H64-I64-J64-N64-O64-P64-Q64</f>
        <v/>
      </c>
      <c r="S64" s="59">
        <f>IF(AND(MOD(A64,12)=6,A64&gt;=18),MAX(0,SUMIF($B$2:$B$85,B64-1,$R$2:$R$85))*'Hypothèses'!$C$54,0)</f>
        <v/>
      </c>
      <c r="T64" s="59">
        <f>T63+R64-S64</f>
        <v/>
      </c>
    </row>
    <row r="65">
      <c r="A65" s="59" t="n">
        <v>64</v>
      </c>
      <c r="B65" s="59">
        <f>INT((A65-1)/12)+1</f>
        <v/>
      </c>
      <c r="C65" s="59">
        <f>IF(A65&lt;'Hypothèses'!$C$28,0,MIN('Hypothèses'!$C$29,INT((A65-'Hypothèses'!$C$28)/'Hypothèses'!$C$27)+1))</f>
        <v/>
      </c>
      <c r="D65" s="59">
        <f>C65*'Hypothèses'!$C$26</f>
        <v/>
      </c>
      <c r="E65" s="59">
        <f>IF((A65-'Hypothèses'!$C$11*12)&lt;'Hypothèses'!$C$28,0,MIN('Hypothèses'!$C$29,INT((A65-'Hypothèses'!$C$11*12-'Hypothèses'!$C$28)/'Hypothèses'!$C$27)+1))</f>
        <v/>
      </c>
      <c r="F65" s="59">
        <f>(C65-E65)*'Hypothèses'!$C$26</f>
        <v/>
      </c>
      <c r="G65" s="59">
        <f>'Hypothèses'!$C$20*(1+'Hypothèses'!$C$21)^(B65-1)</f>
        <v/>
      </c>
      <c r="H65" s="59">
        <f>D65*'Hypothèses'!$C$19*(365/12)*G65*'Hypothèses'!$C$22</f>
        <v/>
      </c>
      <c r="I65" s="59">
        <f>D65*'Hypothèses'!$C$14</f>
        <v/>
      </c>
      <c r="J65" s="59">
        <f>F65*'Hypothèses'!$C$12</f>
        <v/>
      </c>
      <c r="K65" s="59">
        <f>MAX(1,ROUNDUP(D65/'Hypothèses'!$C$40,0))</f>
        <v/>
      </c>
      <c r="L65" s="59">
        <f>MIN('Hypothèses'!$C$35*(1+'Hypothèses'!$C$36)^(B65-1),'Hypothèses'!$C$37)</f>
        <v/>
      </c>
      <c r="M65" s="59">
        <f>'Hypothèses'!$C$38*(1+'Hypothèses'!$C$39)^(B65-1)</f>
        <v/>
      </c>
      <c r="N65" s="59">
        <f>('Hypothèses'!$C$34*L65+K65*M65)*(1+'Hypothèses'!$C$41)</f>
        <v/>
      </c>
      <c r="O65" s="59">
        <f>'Hypothèses'!$C$42*(1+'Hypothèses'!$C$43)^(B65-1)</f>
        <v/>
      </c>
      <c r="P65" s="59">
        <f>'Hypothèses'!$C$44*(1+'Hypothèses'!$C$45)^(B65-1)</f>
        <v/>
      </c>
      <c r="Q65" s="59">
        <f>IF(A65&lt;='Hypothèses'!$C$50,'Hypothèses'!$C$51,0)</f>
        <v/>
      </c>
      <c r="R65" s="59">
        <f>H65-I65-J65-N65-O65-P65-Q65</f>
        <v/>
      </c>
      <c r="S65" s="59">
        <f>IF(AND(MOD(A65,12)=6,A65&gt;=18),MAX(0,SUMIF($B$2:$B$85,B65-1,$R$2:$R$85))*'Hypothèses'!$C$54,0)</f>
        <v/>
      </c>
      <c r="T65" s="59">
        <f>T64+R65-S65</f>
        <v/>
      </c>
    </row>
    <row r="66">
      <c r="A66" s="59" t="n">
        <v>65</v>
      </c>
      <c r="B66" s="59">
        <f>INT((A66-1)/12)+1</f>
        <v/>
      </c>
      <c r="C66" s="59">
        <f>IF(A66&lt;'Hypothèses'!$C$28,0,MIN('Hypothèses'!$C$29,INT((A66-'Hypothèses'!$C$28)/'Hypothèses'!$C$27)+1))</f>
        <v/>
      </c>
      <c r="D66" s="59">
        <f>C66*'Hypothèses'!$C$26</f>
        <v/>
      </c>
      <c r="E66" s="59">
        <f>IF((A66-'Hypothèses'!$C$11*12)&lt;'Hypothèses'!$C$28,0,MIN('Hypothèses'!$C$29,INT((A66-'Hypothèses'!$C$11*12-'Hypothèses'!$C$28)/'Hypothèses'!$C$27)+1))</f>
        <v/>
      </c>
      <c r="F66" s="59">
        <f>(C66-E66)*'Hypothèses'!$C$26</f>
        <v/>
      </c>
      <c r="G66" s="59">
        <f>'Hypothèses'!$C$20*(1+'Hypothèses'!$C$21)^(B66-1)</f>
        <v/>
      </c>
      <c r="H66" s="59">
        <f>D66*'Hypothèses'!$C$19*(365/12)*G66*'Hypothèses'!$C$22</f>
        <v/>
      </c>
      <c r="I66" s="59">
        <f>D66*'Hypothèses'!$C$14</f>
        <v/>
      </c>
      <c r="J66" s="59">
        <f>F66*'Hypothèses'!$C$12</f>
        <v/>
      </c>
      <c r="K66" s="59">
        <f>MAX(1,ROUNDUP(D66/'Hypothèses'!$C$40,0))</f>
        <v/>
      </c>
      <c r="L66" s="59">
        <f>MIN('Hypothèses'!$C$35*(1+'Hypothèses'!$C$36)^(B66-1),'Hypothèses'!$C$37)</f>
        <v/>
      </c>
      <c r="M66" s="59">
        <f>'Hypothèses'!$C$38*(1+'Hypothèses'!$C$39)^(B66-1)</f>
        <v/>
      </c>
      <c r="N66" s="59">
        <f>('Hypothèses'!$C$34*L66+K66*M66)*(1+'Hypothèses'!$C$41)</f>
        <v/>
      </c>
      <c r="O66" s="59">
        <f>'Hypothèses'!$C$42*(1+'Hypothèses'!$C$43)^(B66-1)</f>
        <v/>
      </c>
      <c r="P66" s="59">
        <f>'Hypothèses'!$C$44*(1+'Hypothèses'!$C$45)^(B66-1)</f>
        <v/>
      </c>
      <c r="Q66" s="59">
        <f>IF(A66&lt;='Hypothèses'!$C$50,'Hypothèses'!$C$51,0)</f>
        <v/>
      </c>
      <c r="R66" s="59">
        <f>H66-I66-J66-N66-O66-P66-Q66</f>
        <v/>
      </c>
      <c r="S66" s="59">
        <f>IF(AND(MOD(A66,12)=6,A66&gt;=18),MAX(0,SUMIF($B$2:$B$85,B66-1,$R$2:$R$85))*'Hypothèses'!$C$54,0)</f>
        <v/>
      </c>
      <c r="T66" s="59">
        <f>T65+R66-S66</f>
        <v/>
      </c>
    </row>
    <row r="67">
      <c r="A67" s="59" t="n">
        <v>66</v>
      </c>
      <c r="B67" s="59">
        <f>INT((A67-1)/12)+1</f>
        <v/>
      </c>
      <c r="C67" s="59">
        <f>IF(A67&lt;'Hypothèses'!$C$28,0,MIN('Hypothèses'!$C$29,INT((A67-'Hypothèses'!$C$28)/'Hypothèses'!$C$27)+1))</f>
        <v/>
      </c>
      <c r="D67" s="59">
        <f>C67*'Hypothèses'!$C$26</f>
        <v/>
      </c>
      <c r="E67" s="59">
        <f>IF((A67-'Hypothèses'!$C$11*12)&lt;'Hypothèses'!$C$28,0,MIN('Hypothèses'!$C$29,INT((A67-'Hypothèses'!$C$11*12-'Hypothèses'!$C$28)/'Hypothèses'!$C$27)+1))</f>
        <v/>
      </c>
      <c r="F67" s="59">
        <f>(C67-E67)*'Hypothèses'!$C$26</f>
        <v/>
      </c>
      <c r="G67" s="59">
        <f>'Hypothèses'!$C$20*(1+'Hypothèses'!$C$21)^(B67-1)</f>
        <v/>
      </c>
      <c r="H67" s="59">
        <f>D67*'Hypothèses'!$C$19*(365/12)*G67*'Hypothèses'!$C$22</f>
        <v/>
      </c>
      <c r="I67" s="59">
        <f>D67*'Hypothèses'!$C$14</f>
        <v/>
      </c>
      <c r="J67" s="59">
        <f>F67*'Hypothèses'!$C$12</f>
        <v/>
      </c>
      <c r="K67" s="59">
        <f>MAX(1,ROUNDUP(D67/'Hypothèses'!$C$40,0))</f>
        <v/>
      </c>
      <c r="L67" s="59">
        <f>MIN('Hypothèses'!$C$35*(1+'Hypothèses'!$C$36)^(B67-1),'Hypothèses'!$C$37)</f>
        <v/>
      </c>
      <c r="M67" s="59">
        <f>'Hypothèses'!$C$38*(1+'Hypothèses'!$C$39)^(B67-1)</f>
        <v/>
      </c>
      <c r="N67" s="59">
        <f>('Hypothèses'!$C$34*L67+K67*M67)*(1+'Hypothèses'!$C$41)</f>
        <v/>
      </c>
      <c r="O67" s="59">
        <f>'Hypothèses'!$C$42*(1+'Hypothèses'!$C$43)^(B67-1)</f>
        <v/>
      </c>
      <c r="P67" s="59">
        <f>'Hypothèses'!$C$44*(1+'Hypothèses'!$C$45)^(B67-1)</f>
        <v/>
      </c>
      <c r="Q67" s="59">
        <f>IF(A67&lt;='Hypothèses'!$C$50,'Hypothèses'!$C$51,0)</f>
        <v/>
      </c>
      <c r="R67" s="59">
        <f>H67-I67-J67-N67-O67-P67-Q67</f>
        <v/>
      </c>
      <c r="S67" s="59">
        <f>IF(AND(MOD(A67,12)=6,A67&gt;=18),MAX(0,SUMIF($B$2:$B$85,B67-1,$R$2:$R$85))*'Hypothèses'!$C$54,0)</f>
        <v/>
      </c>
      <c r="T67" s="59">
        <f>T66+R67-S67</f>
        <v/>
      </c>
    </row>
    <row r="68">
      <c r="A68" s="59" t="n">
        <v>67</v>
      </c>
      <c r="B68" s="59">
        <f>INT((A68-1)/12)+1</f>
        <v/>
      </c>
      <c r="C68" s="59">
        <f>IF(A68&lt;'Hypothèses'!$C$28,0,MIN('Hypothèses'!$C$29,INT((A68-'Hypothèses'!$C$28)/'Hypothèses'!$C$27)+1))</f>
        <v/>
      </c>
      <c r="D68" s="59">
        <f>C68*'Hypothèses'!$C$26</f>
        <v/>
      </c>
      <c r="E68" s="59">
        <f>IF((A68-'Hypothèses'!$C$11*12)&lt;'Hypothèses'!$C$28,0,MIN('Hypothèses'!$C$29,INT((A68-'Hypothèses'!$C$11*12-'Hypothèses'!$C$28)/'Hypothèses'!$C$27)+1))</f>
        <v/>
      </c>
      <c r="F68" s="59">
        <f>(C68-E68)*'Hypothèses'!$C$26</f>
        <v/>
      </c>
      <c r="G68" s="59">
        <f>'Hypothèses'!$C$20*(1+'Hypothèses'!$C$21)^(B68-1)</f>
        <v/>
      </c>
      <c r="H68" s="59">
        <f>D68*'Hypothèses'!$C$19*(365/12)*G68*'Hypothèses'!$C$22</f>
        <v/>
      </c>
      <c r="I68" s="59">
        <f>D68*'Hypothèses'!$C$14</f>
        <v/>
      </c>
      <c r="J68" s="59">
        <f>F68*'Hypothèses'!$C$12</f>
        <v/>
      </c>
      <c r="K68" s="59">
        <f>MAX(1,ROUNDUP(D68/'Hypothèses'!$C$40,0))</f>
        <v/>
      </c>
      <c r="L68" s="59">
        <f>MIN('Hypothèses'!$C$35*(1+'Hypothèses'!$C$36)^(B68-1),'Hypothèses'!$C$37)</f>
        <v/>
      </c>
      <c r="M68" s="59">
        <f>'Hypothèses'!$C$38*(1+'Hypothèses'!$C$39)^(B68-1)</f>
        <v/>
      </c>
      <c r="N68" s="59">
        <f>('Hypothèses'!$C$34*L68+K68*M68)*(1+'Hypothèses'!$C$41)</f>
        <v/>
      </c>
      <c r="O68" s="59">
        <f>'Hypothèses'!$C$42*(1+'Hypothèses'!$C$43)^(B68-1)</f>
        <v/>
      </c>
      <c r="P68" s="59">
        <f>'Hypothèses'!$C$44*(1+'Hypothèses'!$C$45)^(B68-1)</f>
        <v/>
      </c>
      <c r="Q68" s="59">
        <f>IF(A68&lt;='Hypothèses'!$C$50,'Hypothèses'!$C$51,0)</f>
        <v/>
      </c>
      <c r="R68" s="59">
        <f>H68-I68-J68-N68-O68-P68-Q68</f>
        <v/>
      </c>
      <c r="S68" s="59">
        <f>IF(AND(MOD(A68,12)=6,A68&gt;=18),MAX(0,SUMIF($B$2:$B$85,B68-1,$R$2:$R$85))*'Hypothèses'!$C$54,0)</f>
        <v/>
      </c>
      <c r="T68" s="59">
        <f>T67+R68-S68</f>
        <v/>
      </c>
    </row>
    <row r="69">
      <c r="A69" s="59" t="n">
        <v>68</v>
      </c>
      <c r="B69" s="59">
        <f>INT((A69-1)/12)+1</f>
        <v/>
      </c>
      <c r="C69" s="59">
        <f>IF(A69&lt;'Hypothèses'!$C$28,0,MIN('Hypothèses'!$C$29,INT((A69-'Hypothèses'!$C$28)/'Hypothèses'!$C$27)+1))</f>
        <v/>
      </c>
      <c r="D69" s="59">
        <f>C69*'Hypothèses'!$C$26</f>
        <v/>
      </c>
      <c r="E69" s="59">
        <f>IF((A69-'Hypothèses'!$C$11*12)&lt;'Hypothèses'!$C$28,0,MIN('Hypothèses'!$C$29,INT((A69-'Hypothèses'!$C$11*12-'Hypothèses'!$C$28)/'Hypothèses'!$C$27)+1))</f>
        <v/>
      </c>
      <c r="F69" s="59">
        <f>(C69-E69)*'Hypothèses'!$C$26</f>
        <v/>
      </c>
      <c r="G69" s="59">
        <f>'Hypothèses'!$C$20*(1+'Hypothèses'!$C$21)^(B69-1)</f>
        <v/>
      </c>
      <c r="H69" s="59">
        <f>D69*'Hypothèses'!$C$19*(365/12)*G69*'Hypothèses'!$C$22</f>
        <v/>
      </c>
      <c r="I69" s="59">
        <f>D69*'Hypothèses'!$C$14</f>
        <v/>
      </c>
      <c r="J69" s="59">
        <f>F69*'Hypothèses'!$C$12</f>
        <v/>
      </c>
      <c r="K69" s="59">
        <f>MAX(1,ROUNDUP(D69/'Hypothèses'!$C$40,0))</f>
        <v/>
      </c>
      <c r="L69" s="59">
        <f>MIN('Hypothèses'!$C$35*(1+'Hypothèses'!$C$36)^(B69-1),'Hypothèses'!$C$37)</f>
        <v/>
      </c>
      <c r="M69" s="59">
        <f>'Hypothèses'!$C$38*(1+'Hypothèses'!$C$39)^(B69-1)</f>
        <v/>
      </c>
      <c r="N69" s="59">
        <f>('Hypothèses'!$C$34*L69+K69*M69)*(1+'Hypothèses'!$C$41)</f>
        <v/>
      </c>
      <c r="O69" s="59">
        <f>'Hypothèses'!$C$42*(1+'Hypothèses'!$C$43)^(B69-1)</f>
        <v/>
      </c>
      <c r="P69" s="59">
        <f>'Hypothèses'!$C$44*(1+'Hypothèses'!$C$45)^(B69-1)</f>
        <v/>
      </c>
      <c r="Q69" s="59">
        <f>IF(A69&lt;='Hypothèses'!$C$50,'Hypothèses'!$C$51,0)</f>
        <v/>
      </c>
      <c r="R69" s="59">
        <f>H69-I69-J69-N69-O69-P69-Q69</f>
        <v/>
      </c>
      <c r="S69" s="59">
        <f>IF(AND(MOD(A69,12)=6,A69&gt;=18),MAX(0,SUMIF($B$2:$B$85,B69-1,$R$2:$R$85))*'Hypothèses'!$C$54,0)</f>
        <v/>
      </c>
      <c r="T69" s="59">
        <f>T68+R69-S69</f>
        <v/>
      </c>
    </row>
    <row r="70">
      <c r="A70" s="59" t="n">
        <v>69</v>
      </c>
      <c r="B70" s="59">
        <f>INT((A70-1)/12)+1</f>
        <v/>
      </c>
      <c r="C70" s="59">
        <f>IF(A70&lt;'Hypothèses'!$C$28,0,MIN('Hypothèses'!$C$29,INT((A70-'Hypothèses'!$C$28)/'Hypothèses'!$C$27)+1))</f>
        <v/>
      </c>
      <c r="D70" s="59">
        <f>C70*'Hypothèses'!$C$26</f>
        <v/>
      </c>
      <c r="E70" s="59">
        <f>IF((A70-'Hypothèses'!$C$11*12)&lt;'Hypothèses'!$C$28,0,MIN('Hypothèses'!$C$29,INT((A70-'Hypothèses'!$C$11*12-'Hypothèses'!$C$28)/'Hypothèses'!$C$27)+1))</f>
        <v/>
      </c>
      <c r="F70" s="59">
        <f>(C70-E70)*'Hypothèses'!$C$26</f>
        <v/>
      </c>
      <c r="G70" s="59">
        <f>'Hypothèses'!$C$20*(1+'Hypothèses'!$C$21)^(B70-1)</f>
        <v/>
      </c>
      <c r="H70" s="59">
        <f>D70*'Hypothèses'!$C$19*(365/12)*G70*'Hypothèses'!$C$22</f>
        <v/>
      </c>
      <c r="I70" s="59">
        <f>D70*'Hypothèses'!$C$14</f>
        <v/>
      </c>
      <c r="J70" s="59">
        <f>F70*'Hypothèses'!$C$12</f>
        <v/>
      </c>
      <c r="K70" s="59">
        <f>MAX(1,ROUNDUP(D70/'Hypothèses'!$C$40,0))</f>
        <v/>
      </c>
      <c r="L70" s="59">
        <f>MIN('Hypothèses'!$C$35*(1+'Hypothèses'!$C$36)^(B70-1),'Hypothèses'!$C$37)</f>
        <v/>
      </c>
      <c r="M70" s="59">
        <f>'Hypothèses'!$C$38*(1+'Hypothèses'!$C$39)^(B70-1)</f>
        <v/>
      </c>
      <c r="N70" s="59">
        <f>('Hypothèses'!$C$34*L70+K70*M70)*(1+'Hypothèses'!$C$41)</f>
        <v/>
      </c>
      <c r="O70" s="59">
        <f>'Hypothèses'!$C$42*(1+'Hypothèses'!$C$43)^(B70-1)</f>
        <v/>
      </c>
      <c r="P70" s="59">
        <f>'Hypothèses'!$C$44*(1+'Hypothèses'!$C$45)^(B70-1)</f>
        <v/>
      </c>
      <c r="Q70" s="59">
        <f>IF(A70&lt;='Hypothèses'!$C$50,'Hypothèses'!$C$51,0)</f>
        <v/>
      </c>
      <c r="R70" s="59">
        <f>H70-I70-J70-N70-O70-P70-Q70</f>
        <v/>
      </c>
      <c r="S70" s="59">
        <f>IF(AND(MOD(A70,12)=6,A70&gt;=18),MAX(0,SUMIF($B$2:$B$85,B70-1,$R$2:$R$85))*'Hypothèses'!$C$54,0)</f>
        <v/>
      </c>
      <c r="T70" s="59">
        <f>T69+R70-S70</f>
        <v/>
      </c>
    </row>
    <row r="71">
      <c r="A71" s="59" t="n">
        <v>70</v>
      </c>
      <c r="B71" s="59">
        <f>INT((A71-1)/12)+1</f>
        <v/>
      </c>
      <c r="C71" s="59">
        <f>IF(A71&lt;'Hypothèses'!$C$28,0,MIN('Hypothèses'!$C$29,INT((A71-'Hypothèses'!$C$28)/'Hypothèses'!$C$27)+1))</f>
        <v/>
      </c>
      <c r="D71" s="59">
        <f>C71*'Hypothèses'!$C$26</f>
        <v/>
      </c>
      <c r="E71" s="59">
        <f>IF((A71-'Hypothèses'!$C$11*12)&lt;'Hypothèses'!$C$28,0,MIN('Hypothèses'!$C$29,INT((A71-'Hypothèses'!$C$11*12-'Hypothèses'!$C$28)/'Hypothèses'!$C$27)+1))</f>
        <v/>
      </c>
      <c r="F71" s="59">
        <f>(C71-E71)*'Hypothèses'!$C$26</f>
        <v/>
      </c>
      <c r="G71" s="59">
        <f>'Hypothèses'!$C$20*(1+'Hypothèses'!$C$21)^(B71-1)</f>
        <v/>
      </c>
      <c r="H71" s="59">
        <f>D71*'Hypothèses'!$C$19*(365/12)*G71*'Hypothèses'!$C$22</f>
        <v/>
      </c>
      <c r="I71" s="59">
        <f>D71*'Hypothèses'!$C$14</f>
        <v/>
      </c>
      <c r="J71" s="59">
        <f>F71*'Hypothèses'!$C$12</f>
        <v/>
      </c>
      <c r="K71" s="59">
        <f>MAX(1,ROUNDUP(D71/'Hypothèses'!$C$40,0))</f>
        <v/>
      </c>
      <c r="L71" s="59">
        <f>MIN('Hypothèses'!$C$35*(1+'Hypothèses'!$C$36)^(B71-1),'Hypothèses'!$C$37)</f>
        <v/>
      </c>
      <c r="M71" s="59">
        <f>'Hypothèses'!$C$38*(1+'Hypothèses'!$C$39)^(B71-1)</f>
        <v/>
      </c>
      <c r="N71" s="59">
        <f>('Hypothèses'!$C$34*L71+K71*M71)*(1+'Hypothèses'!$C$41)</f>
        <v/>
      </c>
      <c r="O71" s="59">
        <f>'Hypothèses'!$C$42*(1+'Hypothèses'!$C$43)^(B71-1)</f>
        <v/>
      </c>
      <c r="P71" s="59">
        <f>'Hypothèses'!$C$44*(1+'Hypothèses'!$C$45)^(B71-1)</f>
        <v/>
      </c>
      <c r="Q71" s="59">
        <f>IF(A71&lt;='Hypothèses'!$C$50,'Hypothèses'!$C$51,0)</f>
        <v/>
      </c>
      <c r="R71" s="59">
        <f>H71-I71-J71-N71-O71-P71-Q71</f>
        <v/>
      </c>
      <c r="S71" s="59">
        <f>IF(AND(MOD(A71,12)=6,A71&gt;=18),MAX(0,SUMIF($B$2:$B$85,B71-1,$R$2:$R$85))*'Hypothèses'!$C$54,0)</f>
        <v/>
      </c>
      <c r="T71" s="59">
        <f>T70+R71-S71</f>
        <v/>
      </c>
    </row>
    <row r="72">
      <c r="A72" s="59" t="n">
        <v>71</v>
      </c>
      <c r="B72" s="59">
        <f>INT((A72-1)/12)+1</f>
        <v/>
      </c>
      <c r="C72" s="59">
        <f>IF(A72&lt;'Hypothèses'!$C$28,0,MIN('Hypothèses'!$C$29,INT((A72-'Hypothèses'!$C$28)/'Hypothèses'!$C$27)+1))</f>
        <v/>
      </c>
      <c r="D72" s="59">
        <f>C72*'Hypothèses'!$C$26</f>
        <v/>
      </c>
      <c r="E72" s="59">
        <f>IF((A72-'Hypothèses'!$C$11*12)&lt;'Hypothèses'!$C$28,0,MIN('Hypothèses'!$C$29,INT((A72-'Hypothèses'!$C$11*12-'Hypothèses'!$C$28)/'Hypothèses'!$C$27)+1))</f>
        <v/>
      </c>
      <c r="F72" s="59">
        <f>(C72-E72)*'Hypothèses'!$C$26</f>
        <v/>
      </c>
      <c r="G72" s="59">
        <f>'Hypothèses'!$C$20*(1+'Hypothèses'!$C$21)^(B72-1)</f>
        <v/>
      </c>
      <c r="H72" s="59">
        <f>D72*'Hypothèses'!$C$19*(365/12)*G72*'Hypothèses'!$C$22</f>
        <v/>
      </c>
      <c r="I72" s="59">
        <f>D72*'Hypothèses'!$C$14</f>
        <v/>
      </c>
      <c r="J72" s="59">
        <f>F72*'Hypothèses'!$C$12</f>
        <v/>
      </c>
      <c r="K72" s="59">
        <f>MAX(1,ROUNDUP(D72/'Hypothèses'!$C$40,0))</f>
        <v/>
      </c>
      <c r="L72" s="59">
        <f>MIN('Hypothèses'!$C$35*(1+'Hypothèses'!$C$36)^(B72-1),'Hypothèses'!$C$37)</f>
        <v/>
      </c>
      <c r="M72" s="59">
        <f>'Hypothèses'!$C$38*(1+'Hypothèses'!$C$39)^(B72-1)</f>
        <v/>
      </c>
      <c r="N72" s="59">
        <f>('Hypothèses'!$C$34*L72+K72*M72)*(1+'Hypothèses'!$C$41)</f>
        <v/>
      </c>
      <c r="O72" s="59">
        <f>'Hypothèses'!$C$42*(1+'Hypothèses'!$C$43)^(B72-1)</f>
        <v/>
      </c>
      <c r="P72" s="59">
        <f>'Hypothèses'!$C$44*(1+'Hypothèses'!$C$45)^(B72-1)</f>
        <v/>
      </c>
      <c r="Q72" s="59">
        <f>IF(A72&lt;='Hypothèses'!$C$50,'Hypothèses'!$C$51,0)</f>
        <v/>
      </c>
      <c r="R72" s="59">
        <f>H72-I72-J72-N72-O72-P72-Q72</f>
        <v/>
      </c>
      <c r="S72" s="59">
        <f>IF(AND(MOD(A72,12)=6,A72&gt;=18),MAX(0,SUMIF($B$2:$B$85,B72-1,$R$2:$R$85))*'Hypothèses'!$C$54,0)</f>
        <v/>
      </c>
      <c r="T72" s="59">
        <f>T71+R72-S72</f>
        <v/>
      </c>
    </row>
    <row r="73">
      <c r="A73" s="59" t="n">
        <v>72</v>
      </c>
      <c r="B73" s="59">
        <f>INT((A73-1)/12)+1</f>
        <v/>
      </c>
      <c r="C73" s="59">
        <f>IF(A73&lt;'Hypothèses'!$C$28,0,MIN('Hypothèses'!$C$29,INT((A73-'Hypothèses'!$C$28)/'Hypothèses'!$C$27)+1))</f>
        <v/>
      </c>
      <c r="D73" s="59">
        <f>C73*'Hypothèses'!$C$26</f>
        <v/>
      </c>
      <c r="E73" s="59">
        <f>IF((A73-'Hypothèses'!$C$11*12)&lt;'Hypothèses'!$C$28,0,MIN('Hypothèses'!$C$29,INT((A73-'Hypothèses'!$C$11*12-'Hypothèses'!$C$28)/'Hypothèses'!$C$27)+1))</f>
        <v/>
      </c>
      <c r="F73" s="59">
        <f>(C73-E73)*'Hypothèses'!$C$26</f>
        <v/>
      </c>
      <c r="G73" s="59">
        <f>'Hypothèses'!$C$20*(1+'Hypothèses'!$C$21)^(B73-1)</f>
        <v/>
      </c>
      <c r="H73" s="59">
        <f>D73*'Hypothèses'!$C$19*(365/12)*G73*'Hypothèses'!$C$22</f>
        <v/>
      </c>
      <c r="I73" s="59">
        <f>D73*'Hypothèses'!$C$14</f>
        <v/>
      </c>
      <c r="J73" s="59">
        <f>F73*'Hypothèses'!$C$12</f>
        <v/>
      </c>
      <c r="K73" s="59">
        <f>MAX(1,ROUNDUP(D73/'Hypothèses'!$C$40,0))</f>
        <v/>
      </c>
      <c r="L73" s="59">
        <f>MIN('Hypothèses'!$C$35*(1+'Hypothèses'!$C$36)^(B73-1),'Hypothèses'!$C$37)</f>
        <v/>
      </c>
      <c r="M73" s="59">
        <f>'Hypothèses'!$C$38*(1+'Hypothèses'!$C$39)^(B73-1)</f>
        <v/>
      </c>
      <c r="N73" s="59">
        <f>('Hypothèses'!$C$34*L73+K73*M73)*(1+'Hypothèses'!$C$41)</f>
        <v/>
      </c>
      <c r="O73" s="59">
        <f>'Hypothèses'!$C$42*(1+'Hypothèses'!$C$43)^(B73-1)</f>
        <v/>
      </c>
      <c r="P73" s="59">
        <f>'Hypothèses'!$C$44*(1+'Hypothèses'!$C$45)^(B73-1)</f>
        <v/>
      </c>
      <c r="Q73" s="59">
        <f>IF(A73&lt;='Hypothèses'!$C$50,'Hypothèses'!$C$51,0)</f>
        <v/>
      </c>
      <c r="R73" s="59">
        <f>H73-I73-J73-N73-O73-P73-Q73</f>
        <v/>
      </c>
      <c r="S73" s="59">
        <f>IF(AND(MOD(A73,12)=6,A73&gt;=18),MAX(0,SUMIF($B$2:$B$85,B73-1,$R$2:$R$85))*'Hypothèses'!$C$54,0)</f>
        <v/>
      </c>
      <c r="T73" s="59">
        <f>T72+R73-S73</f>
        <v/>
      </c>
    </row>
    <row r="74">
      <c r="A74" s="59" t="n">
        <v>73</v>
      </c>
      <c r="B74" s="59">
        <f>INT((A74-1)/12)+1</f>
        <v/>
      </c>
      <c r="C74" s="59">
        <f>IF(A74&lt;'Hypothèses'!$C$28,0,MIN('Hypothèses'!$C$29,INT((A74-'Hypothèses'!$C$28)/'Hypothèses'!$C$27)+1))</f>
        <v/>
      </c>
      <c r="D74" s="59">
        <f>C74*'Hypothèses'!$C$26</f>
        <v/>
      </c>
      <c r="E74" s="59">
        <f>IF((A74-'Hypothèses'!$C$11*12)&lt;'Hypothèses'!$C$28,0,MIN('Hypothèses'!$C$29,INT((A74-'Hypothèses'!$C$11*12-'Hypothèses'!$C$28)/'Hypothèses'!$C$27)+1))</f>
        <v/>
      </c>
      <c r="F74" s="59">
        <f>(C74-E74)*'Hypothèses'!$C$26</f>
        <v/>
      </c>
      <c r="G74" s="59">
        <f>'Hypothèses'!$C$20*(1+'Hypothèses'!$C$21)^(B74-1)</f>
        <v/>
      </c>
      <c r="H74" s="59">
        <f>D74*'Hypothèses'!$C$19*(365/12)*G74*'Hypothèses'!$C$22</f>
        <v/>
      </c>
      <c r="I74" s="59">
        <f>D74*'Hypothèses'!$C$14</f>
        <v/>
      </c>
      <c r="J74" s="59">
        <f>F74*'Hypothèses'!$C$12</f>
        <v/>
      </c>
      <c r="K74" s="59">
        <f>MAX(1,ROUNDUP(D74/'Hypothèses'!$C$40,0))</f>
        <v/>
      </c>
      <c r="L74" s="59">
        <f>MIN('Hypothèses'!$C$35*(1+'Hypothèses'!$C$36)^(B74-1),'Hypothèses'!$C$37)</f>
        <v/>
      </c>
      <c r="M74" s="59">
        <f>'Hypothèses'!$C$38*(1+'Hypothèses'!$C$39)^(B74-1)</f>
        <v/>
      </c>
      <c r="N74" s="59">
        <f>('Hypothèses'!$C$34*L74+K74*M74)*(1+'Hypothèses'!$C$41)</f>
        <v/>
      </c>
      <c r="O74" s="59">
        <f>'Hypothèses'!$C$42*(1+'Hypothèses'!$C$43)^(B74-1)</f>
        <v/>
      </c>
      <c r="P74" s="59">
        <f>'Hypothèses'!$C$44*(1+'Hypothèses'!$C$45)^(B74-1)</f>
        <v/>
      </c>
      <c r="Q74" s="59">
        <f>IF(A74&lt;='Hypothèses'!$C$50,'Hypothèses'!$C$51,0)</f>
        <v/>
      </c>
      <c r="R74" s="59">
        <f>H74-I74-J74-N74-O74-P74-Q74</f>
        <v/>
      </c>
      <c r="S74" s="59">
        <f>IF(AND(MOD(A74,12)=6,A74&gt;=18),MAX(0,SUMIF($B$2:$B$85,B74-1,$R$2:$R$85))*'Hypothèses'!$C$54,0)</f>
        <v/>
      </c>
      <c r="T74" s="59">
        <f>T73+R74-S74</f>
        <v/>
      </c>
    </row>
    <row r="75">
      <c r="A75" s="59" t="n">
        <v>74</v>
      </c>
      <c r="B75" s="59">
        <f>INT((A75-1)/12)+1</f>
        <v/>
      </c>
      <c r="C75" s="59">
        <f>IF(A75&lt;'Hypothèses'!$C$28,0,MIN('Hypothèses'!$C$29,INT((A75-'Hypothèses'!$C$28)/'Hypothèses'!$C$27)+1))</f>
        <v/>
      </c>
      <c r="D75" s="59">
        <f>C75*'Hypothèses'!$C$26</f>
        <v/>
      </c>
      <c r="E75" s="59">
        <f>IF((A75-'Hypothèses'!$C$11*12)&lt;'Hypothèses'!$C$28,0,MIN('Hypothèses'!$C$29,INT((A75-'Hypothèses'!$C$11*12-'Hypothèses'!$C$28)/'Hypothèses'!$C$27)+1))</f>
        <v/>
      </c>
      <c r="F75" s="59">
        <f>(C75-E75)*'Hypothèses'!$C$26</f>
        <v/>
      </c>
      <c r="G75" s="59">
        <f>'Hypothèses'!$C$20*(1+'Hypothèses'!$C$21)^(B75-1)</f>
        <v/>
      </c>
      <c r="H75" s="59">
        <f>D75*'Hypothèses'!$C$19*(365/12)*G75*'Hypothèses'!$C$22</f>
        <v/>
      </c>
      <c r="I75" s="59">
        <f>D75*'Hypothèses'!$C$14</f>
        <v/>
      </c>
      <c r="J75" s="59">
        <f>F75*'Hypothèses'!$C$12</f>
        <v/>
      </c>
      <c r="K75" s="59">
        <f>MAX(1,ROUNDUP(D75/'Hypothèses'!$C$40,0))</f>
        <v/>
      </c>
      <c r="L75" s="59">
        <f>MIN('Hypothèses'!$C$35*(1+'Hypothèses'!$C$36)^(B75-1),'Hypothèses'!$C$37)</f>
        <v/>
      </c>
      <c r="M75" s="59">
        <f>'Hypothèses'!$C$38*(1+'Hypothèses'!$C$39)^(B75-1)</f>
        <v/>
      </c>
      <c r="N75" s="59">
        <f>('Hypothèses'!$C$34*L75+K75*M75)*(1+'Hypothèses'!$C$41)</f>
        <v/>
      </c>
      <c r="O75" s="59">
        <f>'Hypothèses'!$C$42*(1+'Hypothèses'!$C$43)^(B75-1)</f>
        <v/>
      </c>
      <c r="P75" s="59">
        <f>'Hypothèses'!$C$44*(1+'Hypothèses'!$C$45)^(B75-1)</f>
        <v/>
      </c>
      <c r="Q75" s="59">
        <f>IF(A75&lt;='Hypothèses'!$C$50,'Hypothèses'!$C$51,0)</f>
        <v/>
      </c>
      <c r="R75" s="59">
        <f>H75-I75-J75-N75-O75-P75-Q75</f>
        <v/>
      </c>
      <c r="S75" s="59">
        <f>IF(AND(MOD(A75,12)=6,A75&gt;=18),MAX(0,SUMIF($B$2:$B$85,B75-1,$R$2:$R$85))*'Hypothèses'!$C$54,0)</f>
        <v/>
      </c>
      <c r="T75" s="59">
        <f>T74+R75-S75</f>
        <v/>
      </c>
    </row>
    <row r="76">
      <c r="A76" s="59" t="n">
        <v>75</v>
      </c>
      <c r="B76" s="59">
        <f>INT((A76-1)/12)+1</f>
        <v/>
      </c>
      <c r="C76" s="59">
        <f>IF(A76&lt;'Hypothèses'!$C$28,0,MIN('Hypothèses'!$C$29,INT((A76-'Hypothèses'!$C$28)/'Hypothèses'!$C$27)+1))</f>
        <v/>
      </c>
      <c r="D76" s="59">
        <f>C76*'Hypothèses'!$C$26</f>
        <v/>
      </c>
      <c r="E76" s="59">
        <f>IF((A76-'Hypothèses'!$C$11*12)&lt;'Hypothèses'!$C$28,0,MIN('Hypothèses'!$C$29,INT((A76-'Hypothèses'!$C$11*12-'Hypothèses'!$C$28)/'Hypothèses'!$C$27)+1))</f>
        <v/>
      </c>
      <c r="F76" s="59">
        <f>(C76-E76)*'Hypothèses'!$C$26</f>
        <v/>
      </c>
      <c r="G76" s="59">
        <f>'Hypothèses'!$C$20*(1+'Hypothèses'!$C$21)^(B76-1)</f>
        <v/>
      </c>
      <c r="H76" s="59">
        <f>D76*'Hypothèses'!$C$19*(365/12)*G76*'Hypothèses'!$C$22</f>
        <v/>
      </c>
      <c r="I76" s="59">
        <f>D76*'Hypothèses'!$C$14</f>
        <v/>
      </c>
      <c r="J76" s="59">
        <f>F76*'Hypothèses'!$C$12</f>
        <v/>
      </c>
      <c r="K76" s="59">
        <f>MAX(1,ROUNDUP(D76/'Hypothèses'!$C$40,0))</f>
        <v/>
      </c>
      <c r="L76" s="59">
        <f>MIN('Hypothèses'!$C$35*(1+'Hypothèses'!$C$36)^(B76-1),'Hypothèses'!$C$37)</f>
        <v/>
      </c>
      <c r="M76" s="59">
        <f>'Hypothèses'!$C$38*(1+'Hypothèses'!$C$39)^(B76-1)</f>
        <v/>
      </c>
      <c r="N76" s="59">
        <f>('Hypothèses'!$C$34*L76+K76*M76)*(1+'Hypothèses'!$C$41)</f>
        <v/>
      </c>
      <c r="O76" s="59">
        <f>'Hypothèses'!$C$42*(1+'Hypothèses'!$C$43)^(B76-1)</f>
        <v/>
      </c>
      <c r="P76" s="59">
        <f>'Hypothèses'!$C$44*(1+'Hypothèses'!$C$45)^(B76-1)</f>
        <v/>
      </c>
      <c r="Q76" s="59">
        <f>IF(A76&lt;='Hypothèses'!$C$50,'Hypothèses'!$C$51,0)</f>
        <v/>
      </c>
      <c r="R76" s="59">
        <f>H76-I76-J76-N76-O76-P76-Q76</f>
        <v/>
      </c>
      <c r="S76" s="59">
        <f>IF(AND(MOD(A76,12)=6,A76&gt;=18),MAX(0,SUMIF($B$2:$B$85,B76-1,$R$2:$R$85))*'Hypothèses'!$C$54,0)</f>
        <v/>
      </c>
      <c r="T76" s="59">
        <f>T75+R76-S76</f>
        <v/>
      </c>
    </row>
    <row r="77">
      <c r="A77" s="59" t="n">
        <v>76</v>
      </c>
      <c r="B77" s="59">
        <f>INT((A77-1)/12)+1</f>
        <v/>
      </c>
      <c r="C77" s="59">
        <f>IF(A77&lt;'Hypothèses'!$C$28,0,MIN('Hypothèses'!$C$29,INT((A77-'Hypothèses'!$C$28)/'Hypothèses'!$C$27)+1))</f>
        <v/>
      </c>
      <c r="D77" s="59">
        <f>C77*'Hypothèses'!$C$26</f>
        <v/>
      </c>
      <c r="E77" s="59">
        <f>IF((A77-'Hypothèses'!$C$11*12)&lt;'Hypothèses'!$C$28,0,MIN('Hypothèses'!$C$29,INT((A77-'Hypothèses'!$C$11*12-'Hypothèses'!$C$28)/'Hypothèses'!$C$27)+1))</f>
        <v/>
      </c>
      <c r="F77" s="59">
        <f>(C77-E77)*'Hypothèses'!$C$26</f>
        <v/>
      </c>
      <c r="G77" s="59">
        <f>'Hypothèses'!$C$20*(1+'Hypothèses'!$C$21)^(B77-1)</f>
        <v/>
      </c>
      <c r="H77" s="59">
        <f>D77*'Hypothèses'!$C$19*(365/12)*G77*'Hypothèses'!$C$22</f>
        <v/>
      </c>
      <c r="I77" s="59">
        <f>D77*'Hypothèses'!$C$14</f>
        <v/>
      </c>
      <c r="J77" s="59">
        <f>F77*'Hypothèses'!$C$12</f>
        <v/>
      </c>
      <c r="K77" s="59">
        <f>MAX(1,ROUNDUP(D77/'Hypothèses'!$C$40,0))</f>
        <v/>
      </c>
      <c r="L77" s="59">
        <f>MIN('Hypothèses'!$C$35*(1+'Hypothèses'!$C$36)^(B77-1),'Hypothèses'!$C$37)</f>
        <v/>
      </c>
      <c r="M77" s="59">
        <f>'Hypothèses'!$C$38*(1+'Hypothèses'!$C$39)^(B77-1)</f>
        <v/>
      </c>
      <c r="N77" s="59">
        <f>('Hypothèses'!$C$34*L77+K77*M77)*(1+'Hypothèses'!$C$41)</f>
        <v/>
      </c>
      <c r="O77" s="59">
        <f>'Hypothèses'!$C$42*(1+'Hypothèses'!$C$43)^(B77-1)</f>
        <v/>
      </c>
      <c r="P77" s="59">
        <f>'Hypothèses'!$C$44*(1+'Hypothèses'!$C$45)^(B77-1)</f>
        <v/>
      </c>
      <c r="Q77" s="59">
        <f>IF(A77&lt;='Hypothèses'!$C$50,'Hypothèses'!$C$51,0)</f>
        <v/>
      </c>
      <c r="R77" s="59">
        <f>H77-I77-J77-N77-O77-P77-Q77</f>
        <v/>
      </c>
      <c r="S77" s="59">
        <f>IF(AND(MOD(A77,12)=6,A77&gt;=18),MAX(0,SUMIF($B$2:$B$85,B77-1,$R$2:$R$85))*'Hypothèses'!$C$54,0)</f>
        <v/>
      </c>
      <c r="T77" s="59">
        <f>T76+R77-S77</f>
        <v/>
      </c>
    </row>
    <row r="78">
      <c r="A78" s="59" t="n">
        <v>77</v>
      </c>
      <c r="B78" s="59">
        <f>INT((A78-1)/12)+1</f>
        <v/>
      </c>
      <c r="C78" s="59">
        <f>IF(A78&lt;'Hypothèses'!$C$28,0,MIN('Hypothèses'!$C$29,INT((A78-'Hypothèses'!$C$28)/'Hypothèses'!$C$27)+1))</f>
        <v/>
      </c>
      <c r="D78" s="59">
        <f>C78*'Hypothèses'!$C$26</f>
        <v/>
      </c>
      <c r="E78" s="59">
        <f>IF((A78-'Hypothèses'!$C$11*12)&lt;'Hypothèses'!$C$28,0,MIN('Hypothèses'!$C$29,INT((A78-'Hypothèses'!$C$11*12-'Hypothèses'!$C$28)/'Hypothèses'!$C$27)+1))</f>
        <v/>
      </c>
      <c r="F78" s="59">
        <f>(C78-E78)*'Hypothèses'!$C$26</f>
        <v/>
      </c>
      <c r="G78" s="59">
        <f>'Hypothèses'!$C$20*(1+'Hypothèses'!$C$21)^(B78-1)</f>
        <v/>
      </c>
      <c r="H78" s="59">
        <f>D78*'Hypothèses'!$C$19*(365/12)*G78*'Hypothèses'!$C$22</f>
        <v/>
      </c>
      <c r="I78" s="59">
        <f>D78*'Hypothèses'!$C$14</f>
        <v/>
      </c>
      <c r="J78" s="59">
        <f>F78*'Hypothèses'!$C$12</f>
        <v/>
      </c>
      <c r="K78" s="59">
        <f>MAX(1,ROUNDUP(D78/'Hypothèses'!$C$40,0))</f>
        <v/>
      </c>
      <c r="L78" s="59">
        <f>MIN('Hypothèses'!$C$35*(1+'Hypothèses'!$C$36)^(B78-1),'Hypothèses'!$C$37)</f>
        <v/>
      </c>
      <c r="M78" s="59">
        <f>'Hypothèses'!$C$38*(1+'Hypothèses'!$C$39)^(B78-1)</f>
        <v/>
      </c>
      <c r="N78" s="59">
        <f>('Hypothèses'!$C$34*L78+K78*M78)*(1+'Hypothèses'!$C$41)</f>
        <v/>
      </c>
      <c r="O78" s="59">
        <f>'Hypothèses'!$C$42*(1+'Hypothèses'!$C$43)^(B78-1)</f>
        <v/>
      </c>
      <c r="P78" s="59">
        <f>'Hypothèses'!$C$44*(1+'Hypothèses'!$C$45)^(B78-1)</f>
        <v/>
      </c>
      <c r="Q78" s="59">
        <f>IF(A78&lt;='Hypothèses'!$C$50,'Hypothèses'!$C$51,0)</f>
        <v/>
      </c>
      <c r="R78" s="59">
        <f>H78-I78-J78-N78-O78-P78-Q78</f>
        <v/>
      </c>
      <c r="S78" s="59">
        <f>IF(AND(MOD(A78,12)=6,A78&gt;=18),MAX(0,SUMIF($B$2:$B$85,B78-1,$R$2:$R$85))*'Hypothèses'!$C$54,0)</f>
        <v/>
      </c>
      <c r="T78" s="59">
        <f>T77+R78-S78</f>
        <v/>
      </c>
    </row>
    <row r="79">
      <c r="A79" s="59" t="n">
        <v>78</v>
      </c>
      <c r="B79" s="59">
        <f>INT((A79-1)/12)+1</f>
        <v/>
      </c>
      <c r="C79" s="59">
        <f>IF(A79&lt;'Hypothèses'!$C$28,0,MIN('Hypothèses'!$C$29,INT((A79-'Hypothèses'!$C$28)/'Hypothèses'!$C$27)+1))</f>
        <v/>
      </c>
      <c r="D79" s="59">
        <f>C79*'Hypothèses'!$C$26</f>
        <v/>
      </c>
      <c r="E79" s="59">
        <f>IF((A79-'Hypothèses'!$C$11*12)&lt;'Hypothèses'!$C$28,0,MIN('Hypothèses'!$C$29,INT((A79-'Hypothèses'!$C$11*12-'Hypothèses'!$C$28)/'Hypothèses'!$C$27)+1))</f>
        <v/>
      </c>
      <c r="F79" s="59">
        <f>(C79-E79)*'Hypothèses'!$C$26</f>
        <v/>
      </c>
      <c r="G79" s="59">
        <f>'Hypothèses'!$C$20*(1+'Hypothèses'!$C$21)^(B79-1)</f>
        <v/>
      </c>
      <c r="H79" s="59">
        <f>D79*'Hypothèses'!$C$19*(365/12)*G79*'Hypothèses'!$C$22</f>
        <v/>
      </c>
      <c r="I79" s="59">
        <f>D79*'Hypothèses'!$C$14</f>
        <v/>
      </c>
      <c r="J79" s="59">
        <f>F79*'Hypothèses'!$C$12</f>
        <v/>
      </c>
      <c r="K79" s="59">
        <f>MAX(1,ROUNDUP(D79/'Hypothèses'!$C$40,0))</f>
        <v/>
      </c>
      <c r="L79" s="59">
        <f>MIN('Hypothèses'!$C$35*(1+'Hypothèses'!$C$36)^(B79-1),'Hypothèses'!$C$37)</f>
        <v/>
      </c>
      <c r="M79" s="59">
        <f>'Hypothèses'!$C$38*(1+'Hypothèses'!$C$39)^(B79-1)</f>
        <v/>
      </c>
      <c r="N79" s="59">
        <f>('Hypothèses'!$C$34*L79+K79*M79)*(1+'Hypothèses'!$C$41)</f>
        <v/>
      </c>
      <c r="O79" s="59">
        <f>'Hypothèses'!$C$42*(1+'Hypothèses'!$C$43)^(B79-1)</f>
        <v/>
      </c>
      <c r="P79" s="59">
        <f>'Hypothèses'!$C$44*(1+'Hypothèses'!$C$45)^(B79-1)</f>
        <v/>
      </c>
      <c r="Q79" s="59">
        <f>IF(A79&lt;='Hypothèses'!$C$50,'Hypothèses'!$C$51,0)</f>
        <v/>
      </c>
      <c r="R79" s="59">
        <f>H79-I79-J79-N79-O79-P79-Q79</f>
        <v/>
      </c>
      <c r="S79" s="59">
        <f>IF(AND(MOD(A79,12)=6,A79&gt;=18),MAX(0,SUMIF($B$2:$B$85,B79-1,$R$2:$R$85))*'Hypothèses'!$C$54,0)</f>
        <v/>
      </c>
      <c r="T79" s="59">
        <f>T78+R79-S79</f>
        <v/>
      </c>
    </row>
    <row r="80">
      <c r="A80" s="59" t="n">
        <v>79</v>
      </c>
      <c r="B80" s="59">
        <f>INT((A80-1)/12)+1</f>
        <v/>
      </c>
      <c r="C80" s="59">
        <f>IF(A80&lt;'Hypothèses'!$C$28,0,MIN('Hypothèses'!$C$29,INT((A80-'Hypothèses'!$C$28)/'Hypothèses'!$C$27)+1))</f>
        <v/>
      </c>
      <c r="D80" s="59">
        <f>C80*'Hypothèses'!$C$26</f>
        <v/>
      </c>
      <c r="E80" s="59">
        <f>IF((A80-'Hypothèses'!$C$11*12)&lt;'Hypothèses'!$C$28,0,MIN('Hypothèses'!$C$29,INT((A80-'Hypothèses'!$C$11*12-'Hypothèses'!$C$28)/'Hypothèses'!$C$27)+1))</f>
        <v/>
      </c>
      <c r="F80" s="59">
        <f>(C80-E80)*'Hypothèses'!$C$26</f>
        <v/>
      </c>
      <c r="G80" s="59">
        <f>'Hypothèses'!$C$20*(1+'Hypothèses'!$C$21)^(B80-1)</f>
        <v/>
      </c>
      <c r="H80" s="59">
        <f>D80*'Hypothèses'!$C$19*(365/12)*G80*'Hypothèses'!$C$22</f>
        <v/>
      </c>
      <c r="I80" s="59">
        <f>D80*'Hypothèses'!$C$14</f>
        <v/>
      </c>
      <c r="J80" s="59">
        <f>F80*'Hypothèses'!$C$12</f>
        <v/>
      </c>
      <c r="K80" s="59">
        <f>MAX(1,ROUNDUP(D80/'Hypothèses'!$C$40,0))</f>
        <v/>
      </c>
      <c r="L80" s="59">
        <f>MIN('Hypothèses'!$C$35*(1+'Hypothèses'!$C$36)^(B80-1),'Hypothèses'!$C$37)</f>
        <v/>
      </c>
      <c r="M80" s="59">
        <f>'Hypothèses'!$C$38*(1+'Hypothèses'!$C$39)^(B80-1)</f>
        <v/>
      </c>
      <c r="N80" s="59">
        <f>('Hypothèses'!$C$34*L80+K80*M80)*(1+'Hypothèses'!$C$41)</f>
        <v/>
      </c>
      <c r="O80" s="59">
        <f>'Hypothèses'!$C$42*(1+'Hypothèses'!$C$43)^(B80-1)</f>
        <v/>
      </c>
      <c r="P80" s="59">
        <f>'Hypothèses'!$C$44*(1+'Hypothèses'!$C$45)^(B80-1)</f>
        <v/>
      </c>
      <c r="Q80" s="59">
        <f>IF(A80&lt;='Hypothèses'!$C$50,'Hypothèses'!$C$51,0)</f>
        <v/>
      </c>
      <c r="R80" s="59">
        <f>H80-I80-J80-N80-O80-P80-Q80</f>
        <v/>
      </c>
      <c r="S80" s="59">
        <f>IF(AND(MOD(A80,12)=6,A80&gt;=18),MAX(0,SUMIF($B$2:$B$85,B80-1,$R$2:$R$85))*'Hypothèses'!$C$54,0)</f>
        <v/>
      </c>
      <c r="T80" s="59">
        <f>T79+R80-S80</f>
        <v/>
      </c>
    </row>
    <row r="81">
      <c r="A81" s="59" t="n">
        <v>80</v>
      </c>
      <c r="B81" s="59">
        <f>INT((A81-1)/12)+1</f>
        <v/>
      </c>
      <c r="C81" s="59">
        <f>IF(A81&lt;'Hypothèses'!$C$28,0,MIN('Hypothèses'!$C$29,INT((A81-'Hypothèses'!$C$28)/'Hypothèses'!$C$27)+1))</f>
        <v/>
      </c>
      <c r="D81" s="59">
        <f>C81*'Hypothèses'!$C$26</f>
        <v/>
      </c>
      <c r="E81" s="59">
        <f>IF((A81-'Hypothèses'!$C$11*12)&lt;'Hypothèses'!$C$28,0,MIN('Hypothèses'!$C$29,INT((A81-'Hypothèses'!$C$11*12-'Hypothèses'!$C$28)/'Hypothèses'!$C$27)+1))</f>
        <v/>
      </c>
      <c r="F81" s="59">
        <f>(C81-E81)*'Hypothèses'!$C$26</f>
        <v/>
      </c>
      <c r="G81" s="59">
        <f>'Hypothèses'!$C$20*(1+'Hypothèses'!$C$21)^(B81-1)</f>
        <v/>
      </c>
      <c r="H81" s="59">
        <f>D81*'Hypothèses'!$C$19*(365/12)*G81*'Hypothèses'!$C$22</f>
        <v/>
      </c>
      <c r="I81" s="59">
        <f>D81*'Hypothèses'!$C$14</f>
        <v/>
      </c>
      <c r="J81" s="59">
        <f>F81*'Hypothèses'!$C$12</f>
        <v/>
      </c>
      <c r="K81" s="59">
        <f>MAX(1,ROUNDUP(D81/'Hypothèses'!$C$40,0))</f>
        <v/>
      </c>
      <c r="L81" s="59">
        <f>MIN('Hypothèses'!$C$35*(1+'Hypothèses'!$C$36)^(B81-1),'Hypothèses'!$C$37)</f>
        <v/>
      </c>
      <c r="M81" s="59">
        <f>'Hypothèses'!$C$38*(1+'Hypothèses'!$C$39)^(B81-1)</f>
        <v/>
      </c>
      <c r="N81" s="59">
        <f>('Hypothèses'!$C$34*L81+K81*M81)*(1+'Hypothèses'!$C$41)</f>
        <v/>
      </c>
      <c r="O81" s="59">
        <f>'Hypothèses'!$C$42*(1+'Hypothèses'!$C$43)^(B81-1)</f>
        <v/>
      </c>
      <c r="P81" s="59">
        <f>'Hypothèses'!$C$44*(1+'Hypothèses'!$C$45)^(B81-1)</f>
        <v/>
      </c>
      <c r="Q81" s="59">
        <f>IF(A81&lt;='Hypothèses'!$C$50,'Hypothèses'!$C$51,0)</f>
        <v/>
      </c>
      <c r="R81" s="59">
        <f>H81-I81-J81-N81-O81-P81-Q81</f>
        <v/>
      </c>
      <c r="S81" s="59">
        <f>IF(AND(MOD(A81,12)=6,A81&gt;=18),MAX(0,SUMIF($B$2:$B$85,B81-1,$R$2:$R$85))*'Hypothèses'!$C$54,0)</f>
        <v/>
      </c>
      <c r="T81" s="59">
        <f>T80+R81-S81</f>
        <v/>
      </c>
    </row>
    <row r="82">
      <c r="A82" s="59" t="n">
        <v>81</v>
      </c>
      <c r="B82" s="59">
        <f>INT((A82-1)/12)+1</f>
        <v/>
      </c>
      <c r="C82" s="59">
        <f>IF(A82&lt;'Hypothèses'!$C$28,0,MIN('Hypothèses'!$C$29,INT((A82-'Hypothèses'!$C$28)/'Hypothèses'!$C$27)+1))</f>
        <v/>
      </c>
      <c r="D82" s="59">
        <f>C82*'Hypothèses'!$C$26</f>
        <v/>
      </c>
      <c r="E82" s="59">
        <f>IF((A82-'Hypothèses'!$C$11*12)&lt;'Hypothèses'!$C$28,0,MIN('Hypothèses'!$C$29,INT((A82-'Hypothèses'!$C$11*12-'Hypothèses'!$C$28)/'Hypothèses'!$C$27)+1))</f>
        <v/>
      </c>
      <c r="F82" s="59">
        <f>(C82-E82)*'Hypothèses'!$C$26</f>
        <v/>
      </c>
      <c r="G82" s="59">
        <f>'Hypothèses'!$C$20*(1+'Hypothèses'!$C$21)^(B82-1)</f>
        <v/>
      </c>
      <c r="H82" s="59">
        <f>D82*'Hypothèses'!$C$19*(365/12)*G82*'Hypothèses'!$C$22</f>
        <v/>
      </c>
      <c r="I82" s="59">
        <f>D82*'Hypothèses'!$C$14</f>
        <v/>
      </c>
      <c r="J82" s="59">
        <f>F82*'Hypothèses'!$C$12</f>
        <v/>
      </c>
      <c r="K82" s="59">
        <f>MAX(1,ROUNDUP(D82/'Hypothèses'!$C$40,0))</f>
        <v/>
      </c>
      <c r="L82" s="59">
        <f>MIN('Hypothèses'!$C$35*(1+'Hypothèses'!$C$36)^(B82-1),'Hypothèses'!$C$37)</f>
        <v/>
      </c>
      <c r="M82" s="59">
        <f>'Hypothèses'!$C$38*(1+'Hypothèses'!$C$39)^(B82-1)</f>
        <v/>
      </c>
      <c r="N82" s="59">
        <f>('Hypothèses'!$C$34*L82+K82*M82)*(1+'Hypothèses'!$C$41)</f>
        <v/>
      </c>
      <c r="O82" s="59">
        <f>'Hypothèses'!$C$42*(1+'Hypothèses'!$C$43)^(B82-1)</f>
        <v/>
      </c>
      <c r="P82" s="59">
        <f>'Hypothèses'!$C$44*(1+'Hypothèses'!$C$45)^(B82-1)</f>
        <v/>
      </c>
      <c r="Q82" s="59">
        <f>IF(A82&lt;='Hypothèses'!$C$50,'Hypothèses'!$C$51,0)</f>
        <v/>
      </c>
      <c r="R82" s="59">
        <f>H82-I82-J82-N82-O82-P82-Q82</f>
        <v/>
      </c>
      <c r="S82" s="59">
        <f>IF(AND(MOD(A82,12)=6,A82&gt;=18),MAX(0,SUMIF($B$2:$B$85,B82-1,$R$2:$R$85))*'Hypothèses'!$C$54,0)</f>
        <v/>
      </c>
      <c r="T82" s="59">
        <f>T81+R82-S82</f>
        <v/>
      </c>
    </row>
    <row r="83">
      <c r="A83" s="59" t="n">
        <v>82</v>
      </c>
      <c r="B83" s="59">
        <f>INT((A83-1)/12)+1</f>
        <v/>
      </c>
      <c r="C83" s="59">
        <f>IF(A83&lt;'Hypothèses'!$C$28,0,MIN('Hypothèses'!$C$29,INT((A83-'Hypothèses'!$C$28)/'Hypothèses'!$C$27)+1))</f>
        <v/>
      </c>
      <c r="D83" s="59">
        <f>C83*'Hypothèses'!$C$26</f>
        <v/>
      </c>
      <c r="E83" s="59">
        <f>IF((A83-'Hypothèses'!$C$11*12)&lt;'Hypothèses'!$C$28,0,MIN('Hypothèses'!$C$29,INT((A83-'Hypothèses'!$C$11*12-'Hypothèses'!$C$28)/'Hypothèses'!$C$27)+1))</f>
        <v/>
      </c>
      <c r="F83" s="59">
        <f>(C83-E83)*'Hypothèses'!$C$26</f>
        <v/>
      </c>
      <c r="G83" s="59">
        <f>'Hypothèses'!$C$20*(1+'Hypothèses'!$C$21)^(B83-1)</f>
        <v/>
      </c>
      <c r="H83" s="59">
        <f>D83*'Hypothèses'!$C$19*(365/12)*G83*'Hypothèses'!$C$22</f>
        <v/>
      </c>
      <c r="I83" s="59">
        <f>D83*'Hypothèses'!$C$14</f>
        <v/>
      </c>
      <c r="J83" s="59">
        <f>F83*'Hypothèses'!$C$12</f>
        <v/>
      </c>
      <c r="K83" s="59">
        <f>MAX(1,ROUNDUP(D83/'Hypothèses'!$C$40,0))</f>
        <v/>
      </c>
      <c r="L83" s="59">
        <f>MIN('Hypothèses'!$C$35*(1+'Hypothèses'!$C$36)^(B83-1),'Hypothèses'!$C$37)</f>
        <v/>
      </c>
      <c r="M83" s="59">
        <f>'Hypothèses'!$C$38*(1+'Hypothèses'!$C$39)^(B83-1)</f>
        <v/>
      </c>
      <c r="N83" s="59">
        <f>('Hypothèses'!$C$34*L83+K83*M83)*(1+'Hypothèses'!$C$41)</f>
        <v/>
      </c>
      <c r="O83" s="59">
        <f>'Hypothèses'!$C$42*(1+'Hypothèses'!$C$43)^(B83-1)</f>
        <v/>
      </c>
      <c r="P83" s="59">
        <f>'Hypothèses'!$C$44*(1+'Hypothèses'!$C$45)^(B83-1)</f>
        <v/>
      </c>
      <c r="Q83" s="59">
        <f>IF(A83&lt;='Hypothèses'!$C$50,'Hypothèses'!$C$51,0)</f>
        <v/>
      </c>
      <c r="R83" s="59">
        <f>H83-I83-J83-N83-O83-P83-Q83</f>
        <v/>
      </c>
      <c r="S83" s="59">
        <f>IF(AND(MOD(A83,12)=6,A83&gt;=18),MAX(0,SUMIF($B$2:$B$85,B83-1,$R$2:$R$85))*'Hypothèses'!$C$54,0)</f>
        <v/>
      </c>
      <c r="T83" s="59">
        <f>T82+R83-S83</f>
        <v/>
      </c>
    </row>
    <row r="84">
      <c r="A84" s="59" t="n">
        <v>83</v>
      </c>
      <c r="B84" s="59">
        <f>INT((A84-1)/12)+1</f>
        <v/>
      </c>
      <c r="C84" s="59">
        <f>IF(A84&lt;'Hypothèses'!$C$28,0,MIN('Hypothèses'!$C$29,INT((A84-'Hypothèses'!$C$28)/'Hypothèses'!$C$27)+1))</f>
        <v/>
      </c>
      <c r="D84" s="59">
        <f>C84*'Hypothèses'!$C$26</f>
        <v/>
      </c>
      <c r="E84" s="59">
        <f>IF((A84-'Hypothèses'!$C$11*12)&lt;'Hypothèses'!$C$28,0,MIN('Hypothèses'!$C$29,INT((A84-'Hypothèses'!$C$11*12-'Hypothèses'!$C$28)/'Hypothèses'!$C$27)+1))</f>
        <v/>
      </c>
      <c r="F84" s="59">
        <f>(C84-E84)*'Hypothèses'!$C$26</f>
        <v/>
      </c>
      <c r="G84" s="59">
        <f>'Hypothèses'!$C$20*(1+'Hypothèses'!$C$21)^(B84-1)</f>
        <v/>
      </c>
      <c r="H84" s="59">
        <f>D84*'Hypothèses'!$C$19*(365/12)*G84*'Hypothèses'!$C$22</f>
        <v/>
      </c>
      <c r="I84" s="59">
        <f>D84*'Hypothèses'!$C$14</f>
        <v/>
      </c>
      <c r="J84" s="59">
        <f>F84*'Hypothèses'!$C$12</f>
        <v/>
      </c>
      <c r="K84" s="59">
        <f>MAX(1,ROUNDUP(D84/'Hypothèses'!$C$40,0))</f>
        <v/>
      </c>
      <c r="L84" s="59">
        <f>MIN('Hypothèses'!$C$35*(1+'Hypothèses'!$C$36)^(B84-1),'Hypothèses'!$C$37)</f>
        <v/>
      </c>
      <c r="M84" s="59">
        <f>'Hypothèses'!$C$38*(1+'Hypothèses'!$C$39)^(B84-1)</f>
        <v/>
      </c>
      <c r="N84" s="59">
        <f>('Hypothèses'!$C$34*L84+K84*M84)*(1+'Hypothèses'!$C$41)</f>
        <v/>
      </c>
      <c r="O84" s="59">
        <f>'Hypothèses'!$C$42*(1+'Hypothèses'!$C$43)^(B84-1)</f>
        <v/>
      </c>
      <c r="P84" s="59">
        <f>'Hypothèses'!$C$44*(1+'Hypothèses'!$C$45)^(B84-1)</f>
        <v/>
      </c>
      <c r="Q84" s="59">
        <f>IF(A84&lt;='Hypothèses'!$C$50,'Hypothèses'!$C$51,0)</f>
        <v/>
      </c>
      <c r="R84" s="59">
        <f>H84-I84-J84-N84-O84-P84-Q84</f>
        <v/>
      </c>
      <c r="S84" s="59">
        <f>IF(AND(MOD(A84,12)=6,A84&gt;=18),MAX(0,SUMIF($B$2:$B$85,B84-1,$R$2:$R$85))*'Hypothèses'!$C$54,0)</f>
        <v/>
      </c>
      <c r="T84" s="59">
        <f>T83+R84-S84</f>
        <v/>
      </c>
    </row>
    <row r="85">
      <c r="A85" s="59" t="n">
        <v>84</v>
      </c>
      <c r="B85" s="59">
        <f>INT((A85-1)/12)+1</f>
        <v/>
      </c>
      <c r="C85" s="59">
        <f>IF(A85&lt;'Hypothèses'!$C$28,0,MIN('Hypothèses'!$C$29,INT((A85-'Hypothèses'!$C$28)/'Hypothèses'!$C$27)+1))</f>
        <v/>
      </c>
      <c r="D85" s="59">
        <f>C85*'Hypothèses'!$C$26</f>
        <v/>
      </c>
      <c r="E85" s="59">
        <f>IF((A85-'Hypothèses'!$C$11*12)&lt;'Hypothèses'!$C$28,0,MIN('Hypothèses'!$C$29,INT((A85-'Hypothèses'!$C$11*12-'Hypothèses'!$C$28)/'Hypothèses'!$C$27)+1))</f>
        <v/>
      </c>
      <c r="F85" s="59">
        <f>(C85-E85)*'Hypothèses'!$C$26</f>
        <v/>
      </c>
      <c r="G85" s="59">
        <f>'Hypothèses'!$C$20*(1+'Hypothèses'!$C$21)^(B85-1)</f>
        <v/>
      </c>
      <c r="H85" s="59">
        <f>D85*'Hypothèses'!$C$19*(365/12)*G85*'Hypothèses'!$C$22</f>
        <v/>
      </c>
      <c r="I85" s="59">
        <f>D85*'Hypothèses'!$C$14</f>
        <v/>
      </c>
      <c r="J85" s="59">
        <f>F85*'Hypothèses'!$C$12</f>
        <v/>
      </c>
      <c r="K85" s="59">
        <f>MAX(1,ROUNDUP(D85/'Hypothèses'!$C$40,0))</f>
        <v/>
      </c>
      <c r="L85" s="59">
        <f>MIN('Hypothèses'!$C$35*(1+'Hypothèses'!$C$36)^(B85-1),'Hypothèses'!$C$37)</f>
        <v/>
      </c>
      <c r="M85" s="59">
        <f>'Hypothèses'!$C$38*(1+'Hypothèses'!$C$39)^(B85-1)</f>
        <v/>
      </c>
      <c r="N85" s="59">
        <f>('Hypothèses'!$C$34*L85+K85*M85)*(1+'Hypothèses'!$C$41)</f>
        <v/>
      </c>
      <c r="O85" s="59">
        <f>'Hypothèses'!$C$42*(1+'Hypothèses'!$C$43)^(B85-1)</f>
        <v/>
      </c>
      <c r="P85" s="59">
        <f>'Hypothèses'!$C$44*(1+'Hypothèses'!$C$45)^(B85-1)</f>
        <v/>
      </c>
      <c r="Q85" s="59">
        <f>IF(A85&lt;='Hypothèses'!$C$50,'Hypothèses'!$C$51,0)</f>
        <v/>
      </c>
      <c r="R85" s="59">
        <f>H85-I85-J85-N85-O85-P85-Q85</f>
        <v/>
      </c>
      <c r="S85" s="59">
        <f>IF(AND(MOD(A85,12)=6,A85&gt;=18),MAX(0,SUMIF($B$2:$B$85,B85-1,$R$2:$R$85))*'Hypothèses'!$C$54,0)</f>
        <v/>
      </c>
      <c r="T85" s="59">
        <f>T84+R85-S85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2026-06-25T13:07:14Z</dcterms:created>
  <dcterms:modified xmlns:dcterms="http://purl.org/dc/terms/" xmlns:xsi="http://www.w3.org/2001/XMLSchema-instance" xsi:type="dcterms:W3CDTF">2026-06-25T13:07:15Z</dcterms:modified>
</cp:coreProperties>
</file>