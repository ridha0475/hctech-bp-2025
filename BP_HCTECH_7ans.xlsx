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Hypothèses" sheetId="2" state="visible" r:id="rId2"/>
    <sheet xmlns:r="http://schemas.openxmlformats.org/officeDocument/2006/relationships" name="Déploiement" sheetId="3" state="visible" r:id="rId3"/>
    <sheet xmlns:r="http://schemas.openxmlformats.org/officeDocument/2006/relationships" name="Compte de résultat" sheetId="4" state="visible" r:id="rId4"/>
    <sheet xmlns:r="http://schemas.openxmlformats.org/officeDocument/2006/relationships" name="Trésorerie" sheetId="5" state="visible" r:id="rId5"/>
    <sheet xmlns:r="http://schemas.openxmlformats.org/officeDocument/2006/relationships" name="Unité par machine" sheetId="6" state="visible" r:id="rId6"/>
    <sheet xmlns:r="http://schemas.openxmlformats.org/officeDocument/2006/relationships" name="Actionnariat" sheetId="7" state="visible" r:id="rId7"/>
    <sheet xmlns:r="http://schemas.openxmlformats.org/officeDocument/2006/relationships" name="Dividend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12">
    <font>
      <name val="Calibri"/>
      <family val="2"/>
      <color theme="1"/>
      <sz val="11"/>
      <scheme val="minor"/>
    </font>
    <font>
      <b val="1"/>
      <color rgb="001A7A4A"/>
      <sz val="16"/>
    </font>
    <font>
      <i val="1"/>
      <color rgb="005A7060"/>
      <sz val="10"/>
    </font>
    <font>
      <b val="1"/>
      <color rgb="000D1F17"/>
      <sz val="12"/>
    </font>
    <font>
      <sz val="11"/>
    </font>
    <font>
      <b val="1"/>
      <color rgb="001A7A4A"/>
      <sz val="11"/>
    </font>
    <font>
      <b val="1"/>
      <color rgb="00FFFFFF"/>
      <sz val="11"/>
    </font>
    <font>
      <sz val="10"/>
    </font>
    <font>
      <b val="1"/>
      <color rgb="001A7A4A"/>
    </font>
    <font>
      <b val="1"/>
      <sz val="10"/>
    </font>
    <font>
      <b val="1"/>
    </font>
    <font>
      <b val="1"/>
      <color rgb="000D1F17"/>
    </font>
  </fonts>
  <fills count="4">
    <fill>
      <patternFill/>
    </fill>
    <fill>
      <patternFill patternType="gray125"/>
    </fill>
    <fill>
      <patternFill patternType="solid">
        <fgColor rgb="000D1F17"/>
      </patternFill>
    </fill>
    <fill>
      <patternFill patternType="solid">
        <fgColor rgb="00E8F7EF"/>
      </patternFill>
    </fill>
  </fills>
  <borders count="2">
    <border>
      <left/>
      <right/>
      <top/>
      <bottom/>
      <diagonal/>
    </border>
    <border>
      <left style="thin">
        <color rgb="00D0E4D8"/>
      </left>
      <right style="thin">
        <color rgb="00D0E4D8"/>
      </right>
      <top style="thin">
        <color rgb="00D0E4D8"/>
      </top>
      <bottom style="thin">
        <color rgb="00D0E4D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8" fillId="0" borderId="1" pivotButton="0" quotePrefix="0" xfId="0"/>
    <xf numFmtId="0" fontId="0" fillId="0" borderId="1" pivotButton="0" quotePrefix="0" xfId="0"/>
    <xf numFmtId="164" fontId="8" fillId="0" borderId="1" pivotButton="0" quotePrefix="0" xfId="0"/>
    <xf numFmtId="3" fontId="0" fillId="0" borderId="1" pivotButton="0" quotePrefix="0" xfId="0"/>
    <xf numFmtId="0" fontId="9" fillId="3" borderId="1" pivotButton="0" quotePrefix="0" xfId="0"/>
    <xf numFmtId="3" fontId="10" fillId="3" borderId="1" pivotButton="0" quotePrefix="0" xfId="0"/>
    <xf numFmtId="165" fontId="0" fillId="0" borderId="1" pivotButton="0" quotePrefix="0" xfId="0"/>
    <xf numFmtId="1" fontId="0" fillId="0" borderId="1" pivotButton="0" quotePrefix="0" xfId="0"/>
    <xf numFmtId="166" fontId="0" fillId="0" borderId="1" pivotButton="0" quotePrefix="0" xfId="0"/>
    <xf numFmtId="0" fontId="9" fillId="0" borderId="1" pivotButton="0" quotePrefix="0" xfId="0"/>
    <xf numFmtId="3" fontId="10" fillId="0" borderId="1" pivotButton="0" quotePrefix="0" xfId="0"/>
    <xf numFmtId="0" fontId="8" fillId="0" borderId="0" pivotButton="0" quotePrefix="0" xfId="0"/>
    <xf numFmtId="0" fontId="8" fillId="3" borderId="1" pivotButton="0" quotePrefix="0" xfId="0"/>
    <xf numFmtId="164" fontId="0" fillId="0" borderId="1" pivotButton="0" quotePrefix="0" xfId="0"/>
    <xf numFmtId="0" fontId="10" fillId="3" borderId="0" pivotButton="0" quotePrefix="0" xfId="0"/>
    <xf numFmtId="164" fontId="10" fillId="3" borderId="0" pivotButton="0" quotePrefix="0" xfId="0"/>
    <xf numFmtId="3" fontId="10" fillId="3" borderId="0" pivotButton="0" quotePrefix="0" xfId="0"/>
    <xf numFmtId="0" fontId="11" fillId="0" borderId="0" pivotButton="0" quotePrefix="0" xfId="0"/>
    <xf numFmtId="3" fontId="0" fillId="0" borderId="0" pivotButton="0" quotePrefix="0" xfId="0"/>
    <xf numFmtId="0" fontId="1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3" max="3"/>
  </cols>
  <sheetData>
    <row r="1">
      <c r="A1" s="1" t="inlineStr">
        <is>
          <t>HCTECH — Business Plan 7 ans</t>
        </is>
      </c>
    </row>
    <row r="2">
      <c r="A2" s="2" t="inlineStr">
        <is>
          <t>Modèle Revenue Share 60/40 · Machines en leasing · Autofinancement par les revenus</t>
        </is>
      </c>
    </row>
    <row r="4">
      <c r="A4" s="3" t="inlineStr">
        <is>
          <t>INDICATEURS CLÉS</t>
        </is>
      </c>
    </row>
    <row r="5">
      <c r="A5" s="4" t="inlineStr">
        <is>
          <t>Parc de machines à 7 ans</t>
        </is>
      </c>
      <c r="C5" s="5" t="inlineStr">
        <is>
          <t>196 machines</t>
        </is>
      </c>
    </row>
    <row r="6">
      <c r="A6" s="4" t="inlineStr">
        <is>
          <t>CA HCTECH année 7</t>
        </is>
      </c>
      <c r="C6" s="5" t="inlineStr">
        <is>
          <t>7,964,497 DT</t>
        </is>
      </c>
    </row>
    <row r="7">
      <c r="A7" s="4" t="inlineStr">
        <is>
          <t>Résultat net année 7</t>
        </is>
      </c>
      <c r="C7" s="5" t="inlineStr">
        <is>
          <t>3,738,417 DT</t>
        </is>
      </c>
    </row>
    <row r="8">
      <c r="A8" s="4" t="inlineStr">
        <is>
          <t>Résultat net cumulé 7 ans</t>
        </is>
      </c>
      <c r="C8" s="5" t="inlineStr">
        <is>
          <t>10,990,449 DT</t>
        </is>
      </c>
    </row>
    <row r="9">
      <c r="A9" s="4" t="inlineStr">
        <is>
          <t>Trésorerie fin année 7</t>
        </is>
      </c>
      <c r="C9" s="5" t="inlineStr">
        <is>
          <t>12,744,278 DT</t>
        </is>
      </c>
    </row>
    <row r="10">
      <c r="A10" s="4" t="inlineStr">
        <is>
          <t>Trésorerie minimale (84 mois)</t>
        </is>
      </c>
      <c r="C10" s="5" t="inlineStr">
        <is>
          <t>277,902 DT</t>
        </is>
      </c>
    </row>
    <row r="11">
      <c r="A11" s="4" t="inlineStr">
        <is>
          <t>Capital social (Nessim)</t>
        </is>
      </c>
      <c r="C11" s="5" t="inlineStr">
        <is>
          <t>300,000 DT</t>
        </is>
      </c>
    </row>
    <row r="12">
      <c r="A12" s="4" t="inlineStr">
        <is>
          <t>Marge nette / machine / an (rég.)</t>
        </is>
      </c>
      <c r="C12" s="5" t="inlineStr">
        <is>
          <t>16,276 DT</t>
        </is>
      </c>
    </row>
    <row r="13">
      <c r="A13" s="4" t="inlineStr">
        <is>
          <t>Gain station / mois (an 1)</t>
        </is>
      </c>
      <c r="C13" s="5" t="inlineStr">
        <is>
          <t>1,843 DT</t>
        </is>
      </c>
    </row>
    <row r="14">
      <c r="A14" s="4" t="inlineStr">
        <is>
          <t>Coût machine tout compris (HT)</t>
        </is>
      </c>
      <c r="C14" s="5" t="inlineStr">
        <is>
          <t>57,928 DT</t>
        </is>
      </c>
    </row>
    <row r="15">
      <c r="A15" s="4" t="inlineStr">
        <is>
          <t>Leasing machine / an</t>
        </is>
      </c>
      <c r="C15" s="5" t="inlineStr">
        <is>
          <t>15,463 DT</t>
        </is>
      </c>
    </row>
    <row r="16">
      <c r="A16" s="4" t="inlineStr">
        <is>
          <t>— Dividendes (Option 1) —</t>
        </is>
      </c>
      <c r="C16" s="5" t="inlineStr">
        <is>
          <t>Nessim prioritaire</t>
        </is>
      </c>
    </row>
    <row r="17">
      <c r="A17" s="4" t="inlineStr">
        <is>
          <t>Capital Nessim remboursé</t>
        </is>
      </c>
      <c r="C17" s="5" t="inlineStr">
        <is>
          <t>fin An 2</t>
        </is>
      </c>
    </row>
    <row r="18">
      <c r="A18" s="4" t="inlineStr">
        <is>
          <t>TRI Nessim</t>
        </is>
      </c>
      <c r="C18" s="5" t="inlineStr">
        <is>
          <t>78 %</t>
        </is>
      </c>
    </row>
    <row r="19">
      <c r="A19" s="4" t="inlineStr">
        <is>
          <t>Nessim — total reçu 7 ans</t>
        </is>
      </c>
      <c r="C19" s="5" t="inlineStr">
        <is>
          <t>3,659,992 DT</t>
        </is>
      </c>
    </row>
    <row r="20">
      <c r="A20" s="4" t="inlineStr">
        <is>
          <t>Dividendes distribués 7 ans</t>
        </is>
      </c>
      <c r="C20" s="5" t="inlineStr">
        <is>
          <t>7,693,315 DT</t>
        </is>
      </c>
    </row>
    <row r="21">
      <c r="A21" s="4" t="inlineStr">
        <is>
          <t>Trésorerie après distrib. An 7</t>
        </is>
      </c>
      <c r="C21" s="5" t="inlineStr">
        <is>
          <t>7,667,855 DT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52" customWidth="1" min="4" max="4"/>
  </cols>
  <sheetData>
    <row r="1">
      <c r="A1" s="1" t="inlineStr">
        <is>
          <t>Hypothèses du modèle</t>
        </is>
      </c>
    </row>
    <row r="2">
      <c r="A2" s="2" t="inlineStr">
        <is>
          <t>Toutes les hypothèses externes sont sourcées (juin 2026) — voir BP</t>
        </is>
      </c>
    </row>
    <row r="3">
      <c r="A3" s="6" t="n"/>
      <c r="B3" s="6" t="n"/>
      <c r="C3" s="6" t="n"/>
      <c r="D3" s="6" t="n"/>
    </row>
    <row r="4">
      <c r="A4" s="7" t="n"/>
      <c r="B4" s="8" t="n"/>
      <c r="C4" s="9" t="n"/>
      <c r="D4" s="9" t="n"/>
    </row>
    <row r="5">
      <c r="A5" s="7" t="inlineStr">
        <is>
          <t>Paramètre</t>
        </is>
      </c>
      <c r="B5" s="8" t="inlineStr">
        <is>
          <t>Valeur</t>
        </is>
      </c>
      <c r="C5" s="9" t="inlineStr">
        <is>
          <t>Unité</t>
        </is>
      </c>
      <c r="D5" s="9" t="inlineStr">
        <is>
          <t>Source / justification</t>
        </is>
      </c>
    </row>
    <row r="6">
      <c r="A6" s="7" t="inlineStr">
        <is>
          <t>Taux de change USD/DT</t>
        </is>
      </c>
      <c r="B6" s="8" t="n">
        <v>2.95</v>
      </c>
      <c r="C6" s="9" t="inlineStr">
        <is>
          <t>DT/USD</t>
        </is>
      </c>
      <c r="D6" s="9" t="inlineStr">
        <is>
          <t>BCT ~2,94 (juin 2026), retenu 2,95 prudent</t>
        </is>
      </c>
    </row>
    <row r="7">
      <c r="A7" s="7" t="inlineStr">
        <is>
          <t>Prix machine départ usine</t>
        </is>
      </c>
      <c r="B7" s="8" t="n">
        <v>18000</v>
      </c>
      <c r="C7" s="9" t="inlineStr">
        <is>
          <t>USD</t>
        </is>
      </c>
      <c r="D7" s="9" t="inlineStr">
        <is>
          <t>Fournisseur GEKO Corée</t>
        </is>
      </c>
    </row>
    <row r="8">
      <c r="A8" s="7" t="inlineStr">
        <is>
          <t>Prix machine en DT</t>
        </is>
      </c>
      <c r="B8" s="8" t="n">
        <v>53100</v>
      </c>
      <c r="C8" s="9" t="inlineStr">
        <is>
          <t>DT</t>
        </is>
      </c>
      <c r="D8" s="9" t="inlineStr">
        <is>
          <t>18 000 × 2,95</t>
        </is>
      </c>
    </row>
    <row r="9">
      <c r="A9" s="7" t="inlineStr">
        <is>
          <t>Frais d'import</t>
        </is>
      </c>
      <c r="B9" s="8" t="n">
        <v>1327.5</v>
      </c>
      <c r="C9" s="9" t="inlineStr">
        <is>
          <t>DT</t>
        </is>
      </c>
      <c r="D9" s="9" t="inlineStr">
        <is>
          <t>2,5 % du prix machine</t>
        </is>
      </c>
    </row>
    <row r="10">
      <c r="A10" s="7" t="inlineStr">
        <is>
          <t>Installation</t>
        </is>
      </c>
      <c r="B10" s="8" t="n">
        <v>3500</v>
      </c>
      <c r="C10" s="9" t="inlineStr">
        <is>
          <t>DT</t>
        </is>
      </c>
      <c r="D10" s="9" t="inlineStr">
        <is>
          <t>Prestataire local</t>
        </is>
      </c>
    </row>
    <row r="11">
      <c r="A11" s="7" t="inlineStr">
        <is>
          <t>Machine tout compris (HT)</t>
        </is>
      </c>
      <c r="B11" s="8" t="n">
        <v>57927.5</v>
      </c>
      <c r="C11" s="9" t="inlineStr">
        <is>
          <t>DT</t>
        </is>
      </c>
      <c r="D11" s="9" t="inlineStr">
        <is>
          <t>Immobilisation / base leasing. TVA 6 % récupérable</t>
        </is>
      </c>
    </row>
    <row r="12">
      <c r="A12" s="7" t="inlineStr">
        <is>
          <t>Taux leasing machine</t>
        </is>
      </c>
      <c r="B12" s="10" t="n">
        <v>0.12</v>
      </c>
      <c r="C12" s="9" t="inlineStr">
        <is>
          <t>%/an</t>
        </is>
      </c>
      <c r="D12" s="9" t="inlineStr">
        <is>
          <t>Leasing Tunisie ~12 % (plafond usure 16,28 %)</t>
        </is>
      </c>
    </row>
    <row r="13">
      <c r="A13" s="7" t="inlineStr">
        <is>
          <t>Durée leasing machine</t>
        </is>
      </c>
      <c r="B13" s="8" t="n">
        <v>5</v>
      </c>
      <c r="C13" s="9" t="inlineStr">
        <is>
          <t>ans</t>
        </is>
      </c>
      <c r="D13" s="9" t="inlineStr">
        <is>
          <t>Aligné durée de vie / contrat</t>
        </is>
      </c>
    </row>
    <row r="14">
      <c r="A14" s="7" t="inlineStr">
        <is>
          <t>Leasing machine / mois</t>
        </is>
      </c>
      <c r="B14" s="8" t="n">
        <v>1288.565243267147</v>
      </c>
      <c r="C14" s="9" t="inlineStr">
        <is>
          <t>DT</t>
        </is>
      </c>
      <c r="D14" s="9" t="inlineStr">
        <is>
          <t>Mensualité constante</t>
        </is>
      </c>
    </row>
    <row r="15">
      <c r="A15" s="7" t="inlineStr">
        <is>
          <t>Ventes station moyenne</t>
        </is>
      </c>
      <c r="B15" s="8" t="n">
        <v>12000</v>
      </c>
      <c r="C15" s="9" t="inlineStr">
        <is>
          <t>L/jour</t>
        </is>
      </c>
      <c r="D15" s="9" t="inlineStr">
        <is>
          <t>Station cible ≥ 12 000 L/j</t>
        </is>
      </c>
    </row>
    <row r="16">
      <c r="A16" s="7" t="inlineStr">
        <is>
          <t>Taux de récupération</t>
        </is>
      </c>
      <c r="B16" s="10" t="n">
        <v>0.005</v>
      </c>
      <c r="C16" s="9" t="inlineStr">
        <is>
          <t>L/L</t>
        </is>
      </c>
      <c r="D16" s="9" t="inlineStr">
        <is>
          <t>5/1000 — validé prototype 2019</t>
        </is>
      </c>
    </row>
    <row r="17">
      <c r="A17" s="7" t="inlineStr">
        <is>
          <t>Essence récupérée / machine</t>
        </is>
      </c>
      <c r="B17" s="8" t="n">
        <v>21900</v>
      </c>
      <c r="C17" s="9" t="inlineStr">
        <is>
          <t>L/an</t>
        </is>
      </c>
      <c r="D17" s="9" t="inlineStr">
        <is>
          <t>60 L/j × 365</t>
        </is>
      </c>
    </row>
    <row r="18">
      <c r="A18" s="7" t="inlineStr">
        <is>
          <t>Prix essence an 1</t>
        </is>
      </c>
      <c r="B18" s="8" t="n">
        <v>2.525</v>
      </c>
      <c r="C18" s="9" t="inlineStr">
        <is>
          <t>DT/L</t>
        </is>
      </c>
      <c r="D18" s="9" t="inlineStr">
        <is>
          <t>SNDP mai 2025</t>
        </is>
      </c>
    </row>
    <row r="19">
      <c r="A19" s="7" t="inlineStr">
        <is>
          <t>Hausse prix essence</t>
        </is>
      </c>
      <c r="B19" s="10" t="n">
        <v>0.045</v>
      </c>
      <c r="C19" s="9" t="inlineStr">
        <is>
          <t>%/an</t>
        </is>
      </c>
      <c r="D19" s="9" t="inlineStr">
        <is>
          <t>CAGR réel 2016-2026 ≈ +4,6 %</t>
        </is>
      </c>
    </row>
    <row r="20">
      <c r="A20" s="7" t="inlineStr">
        <is>
          <t>Part HCTECH</t>
        </is>
      </c>
      <c r="B20" s="10" t="n">
        <v>0.6</v>
      </c>
      <c r="C20" s="9" t="inlineStr">
        <is>
          <t>%</t>
        </is>
      </c>
      <c r="D20" s="9" t="inlineStr">
        <is>
          <t>Partage 60/40</t>
        </is>
      </c>
    </row>
    <row r="21">
      <c r="A21" s="7" t="inlineStr">
        <is>
          <t>Part station</t>
        </is>
      </c>
      <c r="B21" s="10" t="n">
        <v>0.4</v>
      </c>
      <c r="C21" s="9" t="inlineStr">
        <is>
          <t>%</t>
        </is>
      </c>
      <c r="D21" s="9" t="inlineStr">
        <is>
          <t>Partage 60/40</t>
        </is>
      </c>
    </row>
    <row r="22">
      <c r="A22" s="7" t="inlineStr">
        <is>
          <t>OPEX machine (maint+internet)</t>
        </is>
      </c>
      <c r="B22" s="8" t="n">
        <v>120</v>
      </c>
      <c r="C22" s="9" t="inlineStr">
        <is>
          <t>DT/mois</t>
        </is>
      </c>
      <c r="D22" s="9" t="inlineStr">
        <is>
          <t>Par machine</t>
        </is>
      </c>
    </row>
    <row r="23">
      <c r="A23" s="7" t="inlineStr">
        <is>
          <t>Charges patronales</t>
        </is>
      </c>
      <c r="B23" s="10" t="n">
        <v>0.21</v>
      </c>
      <c r="C23" s="9" t="inlineStr">
        <is>
          <t>%</t>
        </is>
      </c>
      <c r="D23" s="9" t="inlineStr">
        <is>
          <t>CNSS 17,07 + TFP 2 + FOPROLOS 1 + acc.</t>
        </is>
      </c>
    </row>
    <row r="24">
      <c r="A24" s="7" t="inlineStr">
        <is>
          <t>Salaire fondateur an 1</t>
        </is>
      </c>
      <c r="B24" s="8" t="n">
        <v>2000</v>
      </c>
      <c r="C24" s="9" t="inlineStr">
        <is>
          <t>DT/mois</t>
        </is>
      </c>
      <c r="D24" s="9" t="inlineStr">
        <is>
          <t>Lamine &amp; Ali</t>
        </is>
      </c>
    </row>
    <row r="25">
      <c r="A25" s="7" t="inlineStr">
        <is>
          <t>Croissance salaire fondateur</t>
        </is>
      </c>
      <c r="B25" s="10" t="n">
        <v>0.5</v>
      </c>
      <c r="C25" s="9" t="inlineStr">
        <is>
          <t>%/an</t>
        </is>
      </c>
      <c r="D25" s="9" t="inlineStr">
        <is>
          <t>Plafonné à 6 000 DT/mois</t>
        </is>
      </c>
    </row>
    <row r="26">
      <c r="A26" s="7" t="inlineStr">
        <is>
          <t>Plafond salaire fondateur</t>
        </is>
      </c>
      <c r="B26" s="8" t="n">
        <v>6000</v>
      </c>
      <c r="C26" s="9" t="inlineStr">
        <is>
          <t>DT/mois</t>
        </is>
      </c>
      <c r="D26" s="9" t="inlineStr">
        <is>
          <t>Décision actionnaires</t>
        </is>
      </c>
    </row>
    <row r="27">
      <c r="A27" s="7" t="inlineStr">
        <is>
          <t>Salaire technicien an 1</t>
        </is>
      </c>
      <c r="B27" s="8" t="n">
        <v>1200</v>
      </c>
      <c r="C27" s="9" t="inlineStr">
        <is>
          <t>DT/mois</t>
        </is>
      </c>
      <c r="D27" s="9" t="inlineStr">
        <is>
          <t>+7 %/an, 1 pour 48 machines</t>
        </is>
      </c>
    </row>
    <row r="28">
      <c r="A28" s="7" t="inlineStr">
        <is>
          <t>Loyer bureau+atelier an 1</t>
        </is>
      </c>
      <c r="B28" s="8" t="n">
        <v>1200</v>
      </c>
      <c r="C28" s="9" t="inlineStr">
        <is>
          <t>DT/mois</t>
        </is>
      </c>
      <c r="D28" s="9" t="inlineStr">
        <is>
          <t>+6 %/an</t>
        </is>
      </c>
    </row>
    <row r="29">
      <c r="A29" s="7" t="inlineStr">
        <is>
          <t>Frais généraux an 1</t>
        </is>
      </c>
      <c r="B29" s="8" t="n">
        <v>2000</v>
      </c>
      <c r="C29" s="9" t="inlineStr">
        <is>
          <t>DT/mois</t>
        </is>
      </c>
      <c r="D29" s="9" t="inlineStr">
        <is>
          <t>Compta, assur., banque, carburant… (+6 %/an)</t>
        </is>
      </c>
    </row>
    <row r="30">
      <c r="A30" s="7" t="inlineStr">
        <is>
          <t>Leasing véhicule / mois</t>
        </is>
      </c>
      <c r="B30" s="8" t="n">
        <v>1557.111337943123</v>
      </c>
      <c r="C30" s="9" t="inlineStr">
        <is>
          <t>DT</t>
        </is>
      </c>
      <c r="D30" s="9" t="inlineStr">
        <is>
          <t>70 000 DT @ 12 %/5 ans</t>
        </is>
      </c>
    </row>
    <row r="31">
      <c r="A31" s="7" t="inlineStr">
        <is>
          <t>IS (impôt sociétés)</t>
        </is>
      </c>
      <c r="B31" s="10" t="n">
        <v>0.25</v>
      </c>
      <c r="C31" s="9" t="inlineStr">
        <is>
          <t>%</t>
        </is>
      </c>
      <c r="D31" s="9" t="inlineStr">
        <is>
          <t>Services/commerce — LF 2025</t>
        </is>
      </c>
    </row>
    <row r="32">
      <c r="A32" s="7" t="inlineStr">
        <is>
          <t>CSS (contrib. solidarité)</t>
        </is>
      </c>
      <c r="B32" s="10" t="n">
        <v>0.03</v>
      </c>
      <c r="C32" s="9" t="inlineStr">
        <is>
          <t>%</t>
        </is>
      </c>
      <c r="D32" s="9" t="inlineStr">
        <is>
          <t>LF 2026, sociétés &lt; 35 %</t>
        </is>
      </c>
    </row>
    <row r="33">
      <c r="A33" t="inlineStr">
        <is>
          <t>Minimum d'impôt</t>
        </is>
      </c>
      <c r="B33" t="n">
        <v>0.001</v>
      </c>
      <c r="C33" t="inlineStr">
        <is>
          <t>% du CA</t>
        </is>
      </c>
      <c r="D33" t="inlineStr">
        <is>
          <t>Si déficit</t>
        </is>
      </c>
    </row>
    <row r="34">
      <c r="A34" t="inlineStr">
        <is>
          <t>Capital social</t>
        </is>
      </c>
      <c r="B34" t="n">
        <v>300000</v>
      </c>
      <c r="C34" t="inlineStr">
        <is>
          <t>DT</t>
        </is>
      </c>
      <c r="D34" t="inlineStr">
        <is>
          <t>Apporté intégralement par Nessim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Déploiement du parc</t>
        </is>
      </c>
    </row>
    <row r="2">
      <c r="A2" s="2" t="inlineStr">
        <is>
          <t>14 machines à M3, puis +14 tous les 6 mois — financées en leasing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5">
      <c r="A5" t="inlineStr">
        <is>
          <t>(année)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</row>
    <row r="6">
      <c r="A6" s="7" t="inlineStr">
        <is>
          <t>Nouvelles machines</t>
        </is>
      </c>
      <c r="B6" s="11" t="n">
        <v>28</v>
      </c>
      <c r="C6" s="11" t="n">
        <v>28</v>
      </c>
      <c r="D6" s="11" t="n">
        <v>28</v>
      </c>
      <c r="E6" s="11" t="n">
        <v>28</v>
      </c>
      <c r="F6" s="11" t="n">
        <v>28</v>
      </c>
      <c r="G6" s="11" t="n">
        <v>28</v>
      </c>
      <c r="H6" s="11" t="n">
        <v>28</v>
      </c>
    </row>
    <row r="7">
      <c r="A7" s="12" t="inlineStr">
        <is>
          <t>Parc fin d'année</t>
        </is>
      </c>
      <c r="B7" s="13" t="n">
        <v>28</v>
      </c>
      <c r="C7" s="13" t="n">
        <v>56</v>
      </c>
      <c r="D7" s="13" t="n">
        <v>84</v>
      </c>
      <c r="E7" s="13" t="n">
        <v>112</v>
      </c>
      <c r="F7" s="13" t="n">
        <v>140</v>
      </c>
      <c r="G7" s="13" t="n">
        <v>168</v>
      </c>
      <c r="H7" s="13" t="n">
        <v>196</v>
      </c>
    </row>
    <row r="8">
      <c r="A8" s="7" t="inlineStr">
        <is>
          <t>Machine-années (prod.)</t>
        </is>
      </c>
      <c r="B8" s="14" t="n">
        <v>16.3</v>
      </c>
      <c r="C8" s="14" t="n">
        <v>44.3</v>
      </c>
      <c r="D8" s="14" t="n">
        <v>72.3</v>
      </c>
      <c r="E8" s="14" t="n">
        <v>100.3</v>
      </c>
      <c r="F8" s="14" t="n">
        <v>128.3</v>
      </c>
      <c r="G8" s="14" t="n">
        <v>156.3</v>
      </c>
      <c r="H8" s="14" t="n">
        <v>184.3</v>
      </c>
    </row>
    <row r="9">
      <c r="A9" s="7" t="inlineStr">
        <is>
          <t>Techniciens</t>
        </is>
      </c>
      <c r="B9" s="15" t="n">
        <v>1</v>
      </c>
      <c r="C9" s="15" t="n">
        <v>2</v>
      </c>
      <c r="D9" s="15" t="n">
        <v>2</v>
      </c>
      <c r="E9" s="15" t="n">
        <v>3</v>
      </c>
      <c r="F9" s="15" t="n">
        <v>3</v>
      </c>
      <c r="G9" s="15" t="n">
        <v>4</v>
      </c>
      <c r="H9" s="15" t="n">
        <v>5</v>
      </c>
    </row>
    <row r="10">
      <c r="A10" s="7" t="inlineStr">
        <is>
          <t>Prix essence (DT/L)</t>
        </is>
      </c>
      <c r="B10" s="16" t="n">
        <v>2.525</v>
      </c>
      <c r="C10" s="16" t="n">
        <v>2.639</v>
      </c>
      <c r="D10" s="16" t="n">
        <v>2.757</v>
      </c>
      <c r="E10" s="16" t="n">
        <v>2.881</v>
      </c>
      <c r="F10" s="16" t="n">
        <v>3.011</v>
      </c>
      <c r="G10" s="16" t="n">
        <v>3.147</v>
      </c>
      <c r="H10" s="16" t="n">
        <v>3.288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Compte de résultat prévisionnel (7 ans)</t>
        </is>
      </c>
    </row>
    <row r="2">
      <c r="A2" s="2" t="inlineStr">
        <is>
          <t>En DT — machines en leasing (pas d'amortissement machine, le leasing porte le financement)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5">
      <c r="A5" t="inlineStr">
        <is>
          <t>(en DT)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</row>
    <row r="6">
      <c r="A6" s="17" t="inlineStr">
        <is>
          <t>CA HCTECH (60 %)</t>
        </is>
      </c>
      <c r="B6" s="18" t="n">
        <v>541915.5</v>
      </c>
      <c r="C6" s="18" t="n">
        <v>1537104.607499999</v>
      </c>
      <c r="D6" s="18" t="n">
        <v>2620763.355787499</v>
      </c>
      <c r="E6" s="18" t="n">
        <v>3798838.754590688</v>
      </c>
      <c r="F6" s="18" t="n">
        <v>5077633.89349069</v>
      </c>
      <c r="G6" s="18" t="n">
        <v>6463827.946413646</v>
      </c>
      <c r="H6" s="18" t="n">
        <v>7964497.255465353</v>
      </c>
    </row>
    <row r="7">
      <c r="A7" s="7" t="inlineStr">
        <is>
          <t>(−) OPEX machines</t>
        </is>
      </c>
      <c r="B7" s="11" t="n">
        <v>-23520</v>
      </c>
      <c r="C7" s="11" t="n">
        <v>-63840</v>
      </c>
      <c r="D7" s="11" t="n">
        <v>-104160</v>
      </c>
      <c r="E7" s="11" t="n">
        <v>-144480</v>
      </c>
      <c r="F7" s="11" t="n">
        <v>-184800</v>
      </c>
      <c r="G7" s="11" t="n">
        <v>-225120</v>
      </c>
      <c r="H7" s="11" t="n">
        <v>-265440</v>
      </c>
    </row>
    <row r="8">
      <c r="A8" s="7" t="inlineStr">
        <is>
          <t>(−) Leasing machines</t>
        </is>
      </c>
      <c r="B8" s="11" t="n">
        <v>-252558.7876803608</v>
      </c>
      <c r="C8" s="11" t="n">
        <v>-685516.7094181221</v>
      </c>
      <c r="D8" s="11" t="n">
        <v>-1118474.631155883</v>
      </c>
      <c r="E8" s="11" t="n">
        <v>-1551432.552893645</v>
      </c>
      <c r="F8" s="11" t="n">
        <v>-1984390.474631406</v>
      </c>
      <c r="G8" s="11" t="n">
        <v>-2164789.608688807</v>
      </c>
      <c r="H8" s="11" t="n">
        <v>-2164789.608688807</v>
      </c>
    </row>
    <row r="9">
      <c r="A9" s="7" t="inlineStr">
        <is>
          <t>(−) Masse salariale</t>
        </is>
      </c>
      <c r="B9" s="11" t="n">
        <v>-75504</v>
      </c>
      <c r="C9" s="11" t="n">
        <v>-111978.24</v>
      </c>
      <c r="D9" s="11" t="n">
        <v>-170577.4752</v>
      </c>
      <c r="E9" s="11" t="n">
        <v>-234717.922824</v>
      </c>
      <c r="F9" s="11" t="n">
        <v>-242757.92903472</v>
      </c>
      <c r="G9" s="11" t="n">
        <v>-267919.2351969145</v>
      </c>
      <c r="H9" s="11" t="n">
        <v>-287551.1444860069</v>
      </c>
    </row>
    <row r="10">
      <c r="A10" s="7" t="inlineStr">
        <is>
          <t>(−) Loyer</t>
        </is>
      </c>
      <c r="B10" s="11" t="n">
        <v>-14400</v>
      </c>
      <c r="C10" s="11" t="n">
        <v>-15264</v>
      </c>
      <c r="D10" s="11" t="n">
        <v>-16179.84</v>
      </c>
      <c r="E10" s="11" t="n">
        <v>-17150.6304</v>
      </c>
      <c r="F10" s="11" t="n">
        <v>-18179.668224</v>
      </c>
      <c r="G10" s="11" t="n">
        <v>-19270.44831744</v>
      </c>
      <c r="H10" s="11" t="n">
        <v>-20426.6752164864</v>
      </c>
    </row>
    <row r="11">
      <c r="A11" s="7" t="inlineStr">
        <is>
          <t>(−) Frais généraux</t>
        </is>
      </c>
      <c r="B11" s="11" t="n">
        <v>-24000</v>
      </c>
      <c r="C11" s="11" t="n">
        <v>-25440</v>
      </c>
      <c r="D11" s="11" t="n">
        <v>-26966.40000000001</v>
      </c>
      <c r="E11" s="11" t="n">
        <v>-28584.38399999999</v>
      </c>
      <c r="F11" s="11" t="n">
        <v>-30299.44704</v>
      </c>
      <c r="G11" s="11" t="n">
        <v>-32117.4138624</v>
      </c>
      <c r="H11" s="11" t="n">
        <v>-34044.45869414401</v>
      </c>
    </row>
    <row r="12">
      <c r="A12" s="7" t="inlineStr">
        <is>
          <t>(−) Leasing véhicule</t>
        </is>
      </c>
      <c r="B12" s="11" t="n">
        <v>-18685.33605531748</v>
      </c>
      <c r="C12" s="11" t="n">
        <v>-18685.33605531748</v>
      </c>
      <c r="D12" s="11" t="n">
        <v>-18685.33605531748</v>
      </c>
      <c r="E12" s="11" t="n">
        <v>-18685.33605531748</v>
      </c>
      <c r="F12" s="11" t="n">
        <v>-18685.33605531748</v>
      </c>
      <c r="G12" s="11" t="n">
        <v>-0</v>
      </c>
      <c r="H12" s="11" t="n">
        <v>-0</v>
      </c>
    </row>
    <row r="13">
      <c r="A13" s="12" t="inlineStr">
        <is>
          <t>Résultat d'exploitation</t>
        </is>
      </c>
      <c r="B13" s="13" t="n">
        <v>133247.3762643218</v>
      </c>
      <c r="C13" s="13" t="n">
        <v>616380.32202656</v>
      </c>
      <c r="D13" s="13" t="n">
        <v>1165719.673376299</v>
      </c>
      <c r="E13" s="13" t="n">
        <v>1803787.928417725</v>
      </c>
      <c r="F13" s="13" t="n">
        <v>2598521.038505245</v>
      </c>
      <c r="G13" s="13" t="n">
        <v>3754611.240348085</v>
      </c>
      <c r="H13" s="13" t="n">
        <v>5192245.368379908</v>
      </c>
    </row>
    <row r="14">
      <c r="A14" s="7" t="inlineStr">
        <is>
          <t>(−) Impôt (IS 25 % + CSS 3 %)</t>
        </is>
      </c>
      <c r="B14" s="11" t="n">
        <v>-37309.26535401009</v>
      </c>
      <c r="C14" s="11" t="n">
        <v>-172586.4901674368</v>
      </c>
      <c r="D14" s="11" t="n">
        <v>-326401.5085453637</v>
      </c>
      <c r="E14" s="11" t="n">
        <v>-505060.6199569632</v>
      </c>
      <c r="F14" s="11" t="n">
        <v>-727585.8907814688</v>
      </c>
      <c r="G14" s="11" t="n">
        <v>-1051291.147297464</v>
      </c>
      <c r="H14" s="11" t="n">
        <v>-1453828.703146374</v>
      </c>
    </row>
    <row r="15">
      <c r="A15" s="12" t="inlineStr">
        <is>
          <t>RÉSULTAT NET</t>
        </is>
      </c>
      <c r="B15" s="13" t="n">
        <v>95938.11091031166</v>
      </c>
      <c r="C15" s="13" t="n">
        <v>443793.8318591232</v>
      </c>
      <c r="D15" s="13" t="n">
        <v>839318.1648309352</v>
      </c>
      <c r="E15" s="13" t="n">
        <v>1298727.308460762</v>
      </c>
      <c r="F15" s="13" t="n">
        <v>1870935.147723777</v>
      </c>
      <c r="G15" s="13" t="n">
        <v>2703320.093050621</v>
      </c>
      <c r="H15" s="13" t="n">
        <v>3738416.665233533</v>
      </c>
    </row>
    <row r="16">
      <c r="A16" s="17" t="inlineStr">
        <is>
          <t>Résultat net cumulé</t>
        </is>
      </c>
      <c r="B16" s="18" t="n">
        <v>95938.11091031166</v>
      </c>
      <c r="C16" s="18" t="n">
        <v>539731.9427694349</v>
      </c>
      <c r="D16" s="18" t="n">
        <v>1379050.10760037</v>
      </c>
      <c r="E16" s="18" t="n">
        <v>2677777.416061132</v>
      </c>
      <c r="F16" s="18" t="n">
        <v>4548712.563784909</v>
      </c>
      <c r="G16" s="18" t="n">
        <v>7252032.65683553</v>
      </c>
      <c r="H16" s="18" t="n">
        <v>10990449.32206906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Trésorerie (fin d'année)</t>
        </is>
      </c>
    </row>
    <row r="2">
      <c r="A2" s="2" t="inlineStr">
        <is>
          <t>Capital 300 k injecté an 1 — le parc s'autofinance, trésorerie toujours positive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5">
      <c r="A5" t="inlineStr">
        <is>
          <t>(en DT)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</row>
    <row r="6">
      <c r="A6" s="7" t="inlineStr">
        <is>
          <t>Résultat net</t>
        </is>
      </c>
      <c r="B6" s="11" t="n">
        <v>95938.11091031166</v>
      </c>
      <c r="C6" s="11" t="n">
        <v>443793.8318591232</v>
      </c>
      <c r="D6" s="11" t="n">
        <v>839318.1648309352</v>
      </c>
      <c r="E6" s="11" t="n">
        <v>1298727.308460762</v>
      </c>
      <c r="F6" s="11" t="n">
        <v>1870935.147723777</v>
      </c>
      <c r="G6" s="11" t="n">
        <v>2703320.093050621</v>
      </c>
      <c r="H6" s="11" t="n">
        <v>3738416.665233533</v>
      </c>
    </row>
    <row r="7">
      <c r="A7" s="7" t="inlineStr">
        <is>
          <t>Trésorerie avant distribution</t>
        </is>
      </c>
      <c r="B7" s="11" t="n">
        <v>433247.3762643219</v>
      </c>
      <c r="C7" s="11" t="n">
        <v>1012318.432936872</v>
      </c>
      <c r="D7" s="11" t="n">
        <v>2005451.616145733</v>
      </c>
      <c r="E7" s="11" t="n">
        <v>3482838.036018096</v>
      </c>
      <c r="F7" s="11" t="n">
        <v>5576298.45456638</v>
      </c>
      <c r="G7" s="11" t="n">
        <v>8603323.804132998</v>
      </c>
      <c r="H7" s="11" t="n">
        <v>12744278.02521544</v>
      </c>
    </row>
    <row r="8">
      <c r="A8" s="7" t="inlineStr">
        <is>
          <t>(−) Dividendes versés (cumulés)</t>
        </is>
      </c>
      <c r="B8" s="11" t="n">
        <v>0</v>
      </c>
      <c r="C8" s="11" t="n">
        <v>67156.67763721815</v>
      </c>
      <c r="D8" s="11" t="n">
        <v>377812.3599386043</v>
      </c>
      <c r="E8" s="11" t="n">
        <v>965335.0753202587</v>
      </c>
      <c r="F8" s="11" t="n">
        <v>1874444.191242792</v>
      </c>
      <c r="G8" s="11" t="n">
        <v>3184098.794649436</v>
      </c>
      <c r="H8" s="11" t="n">
        <v>5076422.859784871</v>
      </c>
    </row>
    <row r="9">
      <c r="A9" s="12" t="inlineStr">
        <is>
          <t>Trésorerie après distribution</t>
        </is>
      </c>
      <c r="B9" s="13" t="n">
        <v>433247.3762643219</v>
      </c>
      <c r="C9" s="13" t="n">
        <v>945161.755299654</v>
      </c>
      <c r="D9" s="13" t="n">
        <v>1627639.256207129</v>
      </c>
      <c r="E9" s="13" t="n">
        <v>2517502.960697837</v>
      </c>
      <c r="F9" s="13" t="n">
        <v>3701854.263323588</v>
      </c>
      <c r="G9" s="13" t="n">
        <v>5419225.009483562</v>
      </c>
      <c r="H9" s="13" t="n">
        <v>7667855.165430572</v>
      </c>
    </row>
    <row r="11">
      <c r="A11" s="19" t="inlineStr">
        <is>
          <t>Trésorerie minimale sur 84 mois (avant distrib.) : 277,902 DT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4" customWidth="1" min="3" max="3"/>
  </cols>
  <sheetData>
    <row r="1">
      <c r="A1" s="1" t="inlineStr">
        <is>
          <t>Économie unitaire par machine (an 1)</t>
        </is>
      </c>
    </row>
    <row r="2">
      <c r="A2" s="2" t="inlineStr">
        <is>
          <t>Chaque machine est bénéficiaire dès le 1er mois</t>
        </is>
      </c>
    </row>
    <row r="3">
      <c r="A3" s="6" t="n"/>
      <c r="B3" s="6" t="n"/>
      <c r="C3" s="6" t="n"/>
    </row>
    <row r="5">
      <c r="A5" t="inlineStr">
        <is>
          <t>Poste</t>
        </is>
      </c>
      <c r="B5" t="inlineStr">
        <is>
          <t>Valeur</t>
        </is>
      </c>
      <c r="C5" t="inlineStr">
        <is>
          <t>Note</t>
        </is>
      </c>
    </row>
    <row r="6">
      <c r="A6" s="9" t="inlineStr">
        <is>
          <t>Essence récupérée</t>
        </is>
      </c>
      <c r="B6" s="9" t="inlineStr">
        <is>
          <t>21,900 L/an</t>
        </is>
      </c>
      <c r="C6" s="9" t="inlineStr">
        <is>
          <t>60 L/j × 365</t>
        </is>
      </c>
    </row>
    <row r="7">
      <c r="A7" s="9" t="inlineStr">
        <is>
          <t>Valeur brute récupérée</t>
        </is>
      </c>
      <c r="B7" s="9" t="inlineStr">
        <is>
          <t>55,298 DT/an</t>
        </is>
      </c>
      <c r="C7" s="9" t="inlineStr">
        <is>
          <t>× 2,525 DT</t>
        </is>
      </c>
    </row>
    <row r="8">
      <c r="A8" s="9" t="inlineStr">
        <is>
          <t>Part HCTECH (60 %)</t>
        </is>
      </c>
      <c r="B8" s="9" t="inlineStr">
        <is>
          <t>33,178 DT/an</t>
        </is>
      </c>
      <c r="C8" s="9" t="inlineStr"/>
    </row>
    <row r="9">
      <c r="A9" s="9" t="inlineStr">
        <is>
          <t>Part station (40 %)</t>
        </is>
      </c>
      <c r="B9" s="9" t="inlineStr">
        <is>
          <t>22,119 DT/an</t>
        </is>
      </c>
      <c r="C9" s="9" t="inlineStr">
        <is>
          <t>≈ 1,843 DT/mois</t>
        </is>
      </c>
    </row>
    <row r="10">
      <c r="A10" s="9" t="inlineStr">
        <is>
          <t>(−) Leasing machine</t>
        </is>
      </c>
      <c r="B10" s="9" t="inlineStr">
        <is>
          <t>-15,463 DT/an</t>
        </is>
      </c>
      <c r="C10" s="9" t="inlineStr">
        <is>
          <t>57 928 @ 12 %/5 ans (pdt 5 ans, puis 0)</t>
        </is>
      </c>
    </row>
    <row r="11">
      <c r="A11" s="9" t="inlineStr">
        <is>
          <t>(−) Maintenance + internet</t>
        </is>
      </c>
      <c r="B11" s="9" t="inlineStr">
        <is>
          <t>-1,440 DT/an</t>
        </is>
      </c>
      <c r="C11" s="9" t="inlineStr"/>
    </row>
    <row r="12">
      <c r="A12" s="20">
        <f> Marge nette / machine</f>
        <v/>
      </c>
      <c r="B12" s="20" t="inlineStr">
        <is>
          <t>16,276 DT/an</t>
        </is>
      </c>
      <c r="C12" s="20" t="inlineStr">
        <is>
          <t>avant frais de structure partagés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22" customWidth="1" min="4" max="4"/>
    <col width="46" customWidth="1" min="5" max="5"/>
  </cols>
  <sheetData>
    <row r="1">
      <c r="A1" s="1" t="inlineStr">
        <is>
          <t>Capital &amp; Actionnariat</t>
        </is>
      </c>
    </row>
    <row r="2">
      <c r="A2" s="2" t="inlineStr">
        <is>
          <t>Capital social 300 000 DT — apporté intégralement par Nessim Mami</t>
        </is>
      </c>
    </row>
    <row r="3">
      <c r="A3" s="6" t="n"/>
      <c r="B3" s="6" t="n"/>
      <c r="C3" s="6" t="n"/>
      <c r="D3" s="6" t="n"/>
      <c r="E3" s="6" t="n"/>
    </row>
    <row r="5">
      <c r="A5" t="inlineStr">
        <is>
          <t>Actionnaire</t>
        </is>
      </c>
      <c r="B5" t="inlineStr">
        <is>
          <t>% parts</t>
        </is>
      </c>
      <c r="C5" t="inlineStr">
        <is>
          <t>Apport cash</t>
        </is>
      </c>
      <c r="D5" t="inlineStr">
        <is>
          <t>Valeur implicite des parts</t>
        </is>
      </c>
      <c r="E5" t="inlineStr">
        <is>
          <t>Nature</t>
        </is>
      </c>
    </row>
    <row r="6">
      <c r="A6" s="9" t="inlineStr">
        <is>
          <t>Nessim Mami</t>
        </is>
      </c>
      <c r="B6" s="21" t="n">
        <v>0.45</v>
      </c>
      <c r="C6" s="11" t="n">
        <v>300000</v>
      </c>
      <c r="D6" s="11" t="n">
        <v>300000</v>
      </c>
      <c r="E6" s="9" t="inlineStr">
        <is>
          <t>Apport cash</t>
        </is>
      </c>
    </row>
    <row r="7">
      <c r="A7" s="9" t="inlineStr">
        <is>
          <t>Ali Ben Hamoud</t>
        </is>
      </c>
      <c r="B7" s="21" t="n">
        <v>0.25</v>
      </c>
      <c r="C7" s="11" t="n">
        <v>0</v>
      </c>
      <c r="D7" s="11" t="n">
        <v>166666.6666666667</v>
      </c>
      <c r="E7" s="9" t="inlineStr">
        <is>
          <t>Apport industrie/nature (techno, réseau, gestion)</t>
        </is>
      </c>
    </row>
    <row r="8">
      <c r="A8" s="9" t="inlineStr">
        <is>
          <t>Lamine</t>
        </is>
      </c>
      <c r="B8" s="21" t="n">
        <v>0.25</v>
      </c>
      <c r="C8" s="11" t="n">
        <v>0</v>
      </c>
      <c r="D8" s="11" t="n">
        <v>166666.6666666667</v>
      </c>
      <c r="E8" s="9" t="inlineStr">
        <is>
          <t>Apport industrie/nature (techno, réseau, gestion)</t>
        </is>
      </c>
    </row>
    <row r="9">
      <c r="A9" s="9" t="inlineStr">
        <is>
          <t>Nazeh Ben Ammar</t>
        </is>
      </c>
      <c r="B9" s="21" t="n">
        <v>0.05</v>
      </c>
      <c r="C9" s="11" t="n">
        <v>0</v>
      </c>
      <c r="D9" s="11" t="n">
        <v>33333.33333333334</v>
      </c>
      <c r="E9" s="9" t="inlineStr">
        <is>
          <t>Apport industrie/nature (techno, réseau, gestion)</t>
        </is>
      </c>
    </row>
    <row r="10">
      <c r="A10" s="22" t="inlineStr">
        <is>
          <t>TOTAL</t>
        </is>
      </c>
      <c r="B10" s="23" t="n">
        <v>1</v>
      </c>
      <c r="C10" s="24" t="n">
        <v>300000</v>
      </c>
      <c r="D10" s="24" t="n">
        <v>666666.6666666666</v>
      </c>
      <c r="E10" s="22" t="inlineStr"/>
    </row>
    <row r="12">
      <c r="A12" t="inlineStr">
        <is>
          <t>Note : Nessim finance 100 % du capital (300 k) pour 45 %. Les parts d'Ali, Lamine et Nazeh</t>
        </is>
      </c>
    </row>
    <row r="13">
      <c r="A13" t="inlineStr">
        <is>
          <t>correspondent à des apports en industrie/nature (exclusivité GEKO, réseau pétrolier, réseau institutionnel, gestion)</t>
        </is>
      </c>
    </row>
    <row r="14">
      <c r="A14" t="inlineStr">
        <is>
          <t>valorisés ~367 k DT pre-money. À formaliser dans le pacte d'actionnaires.</t>
        </is>
      </c>
    </row>
    <row r="16">
      <c r="A16" s="25" t="inlineStr">
        <is>
          <t>Dividendes reçus sur 7 ans (Option 1) :</t>
        </is>
      </c>
    </row>
    <row r="17">
      <c r="A17" t="inlineStr">
        <is>
          <t>Nessim Mami</t>
        </is>
      </c>
      <c r="B17" t="inlineStr"/>
      <c r="C17" t="inlineStr"/>
      <c r="D17" s="26" t="n">
        <v>3659991.536451755</v>
      </c>
      <c r="E17" t="inlineStr">
        <is>
          <t>12.2× le capital</t>
        </is>
      </c>
    </row>
    <row r="18">
      <c r="A18" t="inlineStr">
        <is>
          <t>Ali Ben Hamoud</t>
        </is>
      </c>
      <c r="B18" t="inlineStr"/>
      <c r="C18" t="inlineStr"/>
      <c r="D18" s="26" t="n">
        <v>1833328.631362086</v>
      </c>
      <c r="E18" t="inlineStr"/>
    </row>
    <row r="19">
      <c r="A19" t="inlineStr">
        <is>
          <t>Lamine</t>
        </is>
      </c>
      <c r="B19" t="inlineStr"/>
      <c r="C19" t="inlineStr"/>
      <c r="D19" s="26" t="n">
        <v>1833328.631362086</v>
      </c>
      <c r="E19" t="inlineStr"/>
    </row>
    <row r="20">
      <c r="A20" t="inlineStr">
        <is>
          <t>Nazeh Ben Ammar</t>
        </is>
      </c>
      <c r="B20" t="inlineStr"/>
      <c r="C20" t="inlineStr"/>
      <c r="D20" s="26" t="n">
        <v>366665.7262724172</v>
      </c>
      <c r="E20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Dividendes — Option 1 (Nessim prioritaire)</t>
        </is>
      </c>
    </row>
    <row r="2">
      <c r="A2" s="2" t="inlineStr">
        <is>
          <t>Nessim encaisse 100% jusqu'à capital + prime 20% (360k), puis pro-rata 45/25/25/5 · payout 70%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5">
      <c r="A5" t="inlineStr">
        <is>
          <t>Actionnaire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  <c r="I5" t="inlineStr">
        <is>
          <t>TOTAL 7 ans</t>
        </is>
      </c>
    </row>
    <row r="6">
      <c r="A6" s="27" t="inlineStr">
        <is>
          <t>Nessim Mami (45 %)</t>
        </is>
      </c>
      <c r="B6" s="13" t="n">
        <v>67156.67763721816</v>
      </c>
      <c r="C6" s="13" t="n">
        <v>300858.8843351538</v>
      </c>
      <c r="D6" s="13" t="n">
        <v>264385.2219217446</v>
      </c>
      <c r="E6" s="13" t="n">
        <v>409099.1021651401</v>
      </c>
      <c r="F6" s="13" t="n">
        <v>589344.5715329897</v>
      </c>
      <c r="G6" s="13" t="n">
        <v>851545.8293109457</v>
      </c>
      <c r="H6" s="13" t="n">
        <v>1177601.249548563</v>
      </c>
      <c r="I6" s="13" t="n">
        <v>3659991.536451755</v>
      </c>
    </row>
    <row r="7">
      <c r="A7" s="9" t="inlineStr">
        <is>
          <t>Ali Ben Hamoud (25 %)</t>
        </is>
      </c>
      <c r="B7" s="11" t="n">
        <v>0</v>
      </c>
      <c r="C7" s="11" t="n">
        <v>4453.089984651087</v>
      </c>
      <c r="D7" s="11" t="n">
        <v>146880.6788454136</v>
      </c>
      <c r="E7" s="11" t="n">
        <v>227277.2789806334</v>
      </c>
      <c r="F7" s="11" t="n">
        <v>327413.6508516609</v>
      </c>
      <c r="G7" s="11" t="n">
        <v>473081.0162838587</v>
      </c>
      <c r="H7" s="11" t="n">
        <v>654222.9164158683</v>
      </c>
      <c r="I7" s="11" t="n">
        <v>1833328.631362086</v>
      </c>
    </row>
    <row r="8">
      <c r="A8" s="9" t="inlineStr">
        <is>
          <t>Lamine (25 %)</t>
        </is>
      </c>
      <c r="B8" s="11" t="n">
        <v>0</v>
      </c>
      <c r="C8" s="11" t="n">
        <v>4453.089984651087</v>
      </c>
      <c r="D8" s="11" t="n">
        <v>146880.6788454136</v>
      </c>
      <c r="E8" s="11" t="n">
        <v>227277.2789806334</v>
      </c>
      <c r="F8" s="11" t="n">
        <v>327413.6508516609</v>
      </c>
      <c r="G8" s="11" t="n">
        <v>473081.0162838587</v>
      </c>
      <c r="H8" s="11" t="n">
        <v>654222.9164158683</v>
      </c>
      <c r="I8" s="11" t="n">
        <v>1833328.631362086</v>
      </c>
    </row>
    <row r="9">
      <c r="A9" s="9" t="inlineStr">
        <is>
          <t>Nazeh Ben Ammar (5 %)</t>
        </is>
      </c>
      <c r="B9" s="11" t="n">
        <v>0</v>
      </c>
      <c r="C9" s="11" t="n">
        <v>890.6179969302175</v>
      </c>
      <c r="D9" s="11" t="n">
        <v>29376.13576908273</v>
      </c>
      <c r="E9" s="11" t="n">
        <v>45455.45579612668</v>
      </c>
      <c r="F9" s="11" t="n">
        <v>65482.73017033219</v>
      </c>
      <c r="G9" s="11" t="n">
        <v>94616.20325677175</v>
      </c>
      <c r="H9" s="11" t="n">
        <v>130844.5832831737</v>
      </c>
      <c r="I9" s="11" t="n">
        <v>366665.7262724172</v>
      </c>
    </row>
    <row r="10">
      <c r="A10" s="18" t="inlineStr">
        <is>
          <t>TOTAL distribué</t>
        </is>
      </c>
      <c r="B10" s="18" t="n">
        <v>67156.67763721816</v>
      </c>
      <c r="C10" s="18" t="n">
        <v>310655.6823013861</v>
      </c>
      <c r="D10" s="18" t="n">
        <v>587522.7153816546</v>
      </c>
      <c r="E10" s="18" t="n">
        <v>909109.1159225334</v>
      </c>
      <c r="F10" s="18" t="n">
        <v>1309654.603406644</v>
      </c>
      <c r="G10" s="18" t="n">
        <v>1892324.065135435</v>
      </c>
      <c r="H10" s="18" t="n">
        <v>2616891.665663473</v>
      </c>
      <c r="I10" s="18" t="n">
        <v>7693314.525448345</v>
      </c>
    </row>
    <row r="12">
      <c r="A12" s="19" t="inlineStr">
        <is>
          <t>Nessim : capital remboursé fin An 2 · TRI ≈ 78 % · multiple 12.2× · total reçu 3,659,992 DT</t>
        </is>
      </c>
    </row>
    <row r="13">
      <c r="A13" t="inlineStr">
        <is>
          <t>Note : dividende déclaré au titre de l'exercice N, versé en N+1. 30 % du résultat conservé en réserve.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2026-06-25T11:16:30Z</dcterms:created>
  <dcterms:modified xmlns:dcterms="http://purl.org/dc/terms/" xmlns:xsi="http://www.w3.org/2001/XMLSchema-instance" xsi:type="dcterms:W3CDTF">2026-06-25T11:16:31Z</dcterms:modified>
</cp:coreProperties>
</file>