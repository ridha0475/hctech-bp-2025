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Hypothèses" sheetId="2" state="visible" r:id="rId2"/>
    <sheet xmlns:r="http://schemas.openxmlformats.org/officeDocument/2006/relationships" name="Déploiement" sheetId="3" state="visible" r:id="rId3"/>
    <sheet xmlns:r="http://schemas.openxmlformats.org/officeDocument/2006/relationships" name="Compte de résultat" sheetId="4" state="visible" r:id="rId4"/>
    <sheet xmlns:r="http://schemas.openxmlformats.org/officeDocument/2006/relationships" name="Trésorerie" sheetId="5" state="visible" r:id="rId5"/>
    <sheet xmlns:r="http://schemas.openxmlformats.org/officeDocument/2006/relationships" name="Unité par machine" sheetId="6" state="visible" r:id="rId6"/>
    <sheet xmlns:r="http://schemas.openxmlformats.org/officeDocument/2006/relationships" name="Actionnariat" sheetId="7" state="visible" r:id="rId7"/>
    <sheet xmlns:r="http://schemas.openxmlformats.org/officeDocument/2006/relationships" name="Dividen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12">
    <font>
      <name val="Calibri"/>
      <family val="2"/>
      <color theme="1"/>
      <sz val="11"/>
      <scheme val="minor"/>
    </font>
    <font>
      <b val="1"/>
      <color rgb="001A7A4A"/>
      <sz val="16"/>
    </font>
    <font>
      <i val="1"/>
      <color rgb="005A7060"/>
      <sz val="10"/>
    </font>
    <font>
      <b val="1"/>
      <color rgb="000D1F17"/>
      <sz val="12"/>
    </font>
    <font>
      <sz val="11"/>
    </font>
    <font>
      <b val="1"/>
      <color rgb="001A7A4A"/>
      <sz val="11"/>
    </font>
    <font>
      <b val="1"/>
      <color rgb="00FFFFFF"/>
      <sz val="11"/>
    </font>
    <font>
      <sz val="10"/>
    </font>
    <font>
      <b val="1"/>
      <color rgb="001A7A4A"/>
    </font>
    <font>
      <b val="1"/>
      <sz val="10"/>
    </font>
    <font>
      <b val="1"/>
    </font>
    <font>
      <b val="1"/>
      <color rgb="000D1F17"/>
    </font>
  </fonts>
  <fills count="4">
    <fill>
      <patternFill/>
    </fill>
    <fill>
      <patternFill patternType="gray125"/>
    </fill>
    <fill>
      <patternFill patternType="solid">
        <fgColor rgb="000D1F17"/>
      </patternFill>
    </fill>
    <fill>
      <patternFill patternType="solid">
        <fgColor rgb="00E8F7EF"/>
      </patternFill>
    </fill>
  </fills>
  <borders count="2">
    <border>
      <left/>
      <right/>
      <top/>
      <bottom/>
      <diagonal/>
    </border>
    <border>
      <left style="thin">
        <color rgb="00D0E4D8"/>
      </left>
      <right style="thin">
        <color rgb="00D0E4D8"/>
      </right>
      <top style="thin">
        <color rgb="00D0E4D8"/>
      </top>
      <bottom style="thin">
        <color rgb="00D0E4D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8" fillId="0" borderId="1" pivotButton="0" quotePrefix="0" xfId="0"/>
    <xf numFmtId="0" fontId="0" fillId="0" borderId="1" pivotButton="0" quotePrefix="0" xfId="0"/>
    <xf numFmtId="164" fontId="8" fillId="0" borderId="1" pivotButton="0" quotePrefix="0" xfId="0"/>
    <xf numFmtId="3" fontId="0" fillId="0" borderId="1" pivotButton="0" quotePrefix="0" xfId="0"/>
    <xf numFmtId="0" fontId="9" fillId="3" borderId="1" pivotButton="0" quotePrefix="0" xfId="0"/>
    <xf numFmtId="3" fontId="10" fillId="3" borderId="1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0" fontId="9" fillId="0" borderId="1" pivotButton="0" quotePrefix="0" xfId="0"/>
    <xf numFmtId="3" fontId="10" fillId="0" borderId="1" pivotButton="0" quotePrefix="0" xfId="0"/>
    <xf numFmtId="0" fontId="8" fillId="0" borderId="0" pivotButton="0" quotePrefix="0" xfId="0"/>
    <xf numFmtId="0" fontId="8" fillId="3" borderId="1" pivotButton="0" quotePrefix="0" xfId="0"/>
    <xf numFmtId="164" fontId="0" fillId="0" borderId="1" pivotButton="0" quotePrefix="0" xfId="0"/>
    <xf numFmtId="0" fontId="10" fillId="3" borderId="0" pivotButton="0" quotePrefix="0" xfId="0"/>
    <xf numFmtId="164" fontId="10" fillId="3" borderId="0" pivotButton="0" quotePrefix="0" xfId="0"/>
    <xf numFmtId="3" fontId="10" fillId="3" borderId="0" pivotButton="0" quotePrefix="0" xfId="0"/>
    <xf numFmtId="0" fontId="11" fillId="0" borderId="0" pivotButton="0" quotePrefix="0" xfId="0"/>
    <xf numFmtId="3" fontId="0" fillId="0" borderId="0" pivotButton="0" quotePrefix="0" xfId="0"/>
    <xf numFmtId="0" fontId="1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3" max="3"/>
  </cols>
  <sheetData>
    <row r="1">
      <c r="A1" s="1" t="inlineStr">
        <is>
          <t>HCTECH — Business Plan 7 ans</t>
        </is>
      </c>
    </row>
    <row r="2">
      <c r="A2" s="2" t="inlineStr">
        <is>
          <t>Modèle Revenue Share 60/40 · Machines en leasing · Autofinancement par les revenus</t>
        </is>
      </c>
    </row>
    <row r="4">
      <c r="A4" s="3" t="inlineStr">
        <is>
          <t>INDICATEURS CLÉS</t>
        </is>
      </c>
    </row>
    <row r="5">
      <c r="A5" s="4" t="inlineStr">
        <is>
          <t>Parc de machines à 7 ans</t>
        </is>
      </c>
      <c r="C5" s="5" t="inlineStr">
        <is>
          <t>196 machines</t>
        </is>
      </c>
    </row>
    <row r="6">
      <c r="A6" s="4" t="inlineStr">
        <is>
          <t>CA HCTECH année 7</t>
        </is>
      </c>
      <c r="C6" s="5" t="inlineStr">
        <is>
          <t>7,964,497 DT</t>
        </is>
      </c>
    </row>
    <row r="7">
      <c r="A7" s="4" t="inlineStr">
        <is>
          <t>Résultat net année 7</t>
        </is>
      </c>
      <c r="C7" s="5" t="inlineStr">
        <is>
          <t>3,668,465 DT</t>
        </is>
      </c>
    </row>
    <row r="8">
      <c r="A8" s="4" t="inlineStr">
        <is>
          <t>Résultat net cumulé 7 ans</t>
        </is>
      </c>
      <c r="C8" s="5" t="inlineStr">
        <is>
          <t>11,929,084 DT</t>
        </is>
      </c>
    </row>
    <row r="9">
      <c r="A9" s="4" t="inlineStr">
        <is>
          <t>Trésorerie fin année 7</t>
        </is>
      </c>
      <c r="C9" s="5" t="inlineStr">
        <is>
          <t>13,655,709 DT</t>
        </is>
      </c>
    </row>
    <row r="10">
      <c r="A10" s="4" t="inlineStr">
        <is>
          <t>Trésorerie minimale (84 mois)</t>
        </is>
      </c>
      <c r="C10" s="5" t="inlineStr">
        <is>
          <t>277,902 DT</t>
        </is>
      </c>
    </row>
    <row r="11">
      <c r="A11" s="4" t="inlineStr">
        <is>
          <t>Capital social (Nessim)</t>
        </is>
      </c>
      <c r="C11" s="5" t="inlineStr">
        <is>
          <t>300,000 DT</t>
        </is>
      </c>
    </row>
    <row r="12">
      <c r="A12" s="4" t="inlineStr">
        <is>
          <t>Marge nette / machine / an (rég.)</t>
        </is>
      </c>
      <c r="C12" s="5" t="inlineStr">
        <is>
          <t>19,468 DT</t>
        </is>
      </c>
    </row>
    <row r="13">
      <c r="A13" s="4" t="inlineStr">
        <is>
          <t>Gain station / mois (an 1)</t>
        </is>
      </c>
      <c r="C13" s="5" t="inlineStr">
        <is>
          <t>1,843 DT</t>
        </is>
      </c>
    </row>
    <row r="14">
      <c r="A14" s="4" t="inlineStr">
        <is>
          <t>Coût machine tout compris (HT)</t>
        </is>
      </c>
      <c r="C14" s="5" t="inlineStr">
        <is>
          <t>57,928 DT</t>
        </is>
      </c>
    </row>
    <row r="15">
      <c r="A15" s="4" t="inlineStr">
        <is>
          <t>Leasing machine / an</t>
        </is>
      </c>
      <c r="C15" s="5" t="inlineStr">
        <is>
          <t>12,271 DT</t>
        </is>
      </c>
    </row>
    <row r="16">
      <c r="A16" s="4" t="inlineStr">
        <is>
          <t>— Dividendes (Option 1) —</t>
        </is>
      </c>
      <c r="C16" s="5" t="inlineStr">
        <is>
          <t>Nessim prioritaire</t>
        </is>
      </c>
    </row>
    <row r="17">
      <c r="A17" s="4" t="inlineStr">
        <is>
          <t>Capital Nessim remboursé</t>
        </is>
      </c>
      <c r="C17" s="5" t="inlineStr">
        <is>
          <t>fin An 2</t>
        </is>
      </c>
    </row>
    <row r="18">
      <c r="A18" s="4" t="inlineStr">
        <is>
          <t>TRI Nessim</t>
        </is>
      </c>
      <c r="C18" s="5" t="inlineStr">
        <is>
          <t>90 %</t>
        </is>
      </c>
    </row>
    <row r="19">
      <c r="A19" s="4" t="inlineStr">
        <is>
          <t>Nessim — total reçu 7 ans</t>
        </is>
      </c>
      <c r="C19" s="5" t="inlineStr">
        <is>
          <t>4,355,179 DT</t>
        </is>
      </c>
    </row>
    <row r="20">
      <c r="A20" s="4" t="inlineStr">
        <is>
          <t>Dividendes distribués 7 ans</t>
        </is>
      </c>
      <c r="C20" s="5" t="inlineStr">
        <is>
          <t>8,350,359 DT</t>
        </is>
      </c>
    </row>
    <row r="21">
      <c r="A21" s="4" t="inlineStr">
        <is>
          <t>Trésorerie après distrib. An 7</t>
        </is>
      </c>
      <c r="C21" s="5" t="inlineStr">
        <is>
          <t>7,873,276 DT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52" customWidth="1" min="4" max="4"/>
  </cols>
  <sheetData>
    <row r="1">
      <c r="A1" s="1" t="inlineStr">
        <is>
          <t>Hypothèses du modèle</t>
        </is>
      </c>
    </row>
    <row r="2">
      <c r="A2" s="2" t="inlineStr">
        <is>
          <t>Toutes les hypothèses externes sont sourcées (juin 2026) — voir BP</t>
        </is>
      </c>
    </row>
    <row r="3">
      <c r="A3" s="6" t="n"/>
      <c r="B3" s="6" t="n"/>
      <c r="C3" s="6" t="n"/>
      <c r="D3" s="6" t="n"/>
    </row>
    <row r="4">
      <c r="A4" s="7" t="n"/>
      <c r="B4" s="8" t="n"/>
      <c r="C4" s="9" t="n"/>
      <c r="D4" s="9" t="n"/>
    </row>
    <row r="5">
      <c r="A5" s="7" t="inlineStr">
        <is>
          <t>Paramètre</t>
        </is>
      </c>
      <c r="B5" s="8" t="inlineStr">
        <is>
          <t>Valeur</t>
        </is>
      </c>
      <c r="C5" s="9" t="inlineStr">
        <is>
          <t>Unité</t>
        </is>
      </c>
      <c r="D5" s="9" t="inlineStr">
        <is>
          <t>Source / justification</t>
        </is>
      </c>
    </row>
    <row r="6">
      <c r="A6" s="7" t="inlineStr">
        <is>
          <t>Taux de change USD/DT</t>
        </is>
      </c>
      <c r="B6" s="8" t="n">
        <v>2.95</v>
      </c>
      <c r="C6" s="9" t="inlineStr">
        <is>
          <t>DT/USD</t>
        </is>
      </c>
      <c r="D6" s="9" t="inlineStr">
        <is>
          <t>BCT ~2,94 (juin 2026), retenu 2,95 prudent</t>
        </is>
      </c>
    </row>
    <row r="7">
      <c r="A7" s="7" t="inlineStr">
        <is>
          <t>Prix machine départ usine</t>
        </is>
      </c>
      <c r="B7" s="8" t="n">
        <v>18000</v>
      </c>
      <c r="C7" s="9" t="inlineStr">
        <is>
          <t>USD</t>
        </is>
      </c>
      <c r="D7" s="9" t="inlineStr">
        <is>
          <t>Fournisseur GEKO Corée</t>
        </is>
      </c>
    </row>
    <row r="8">
      <c r="A8" s="7" t="inlineStr">
        <is>
          <t>Prix machine en DT</t>
        </is>
      </c>
      <c r="B8" s="8" t="n">
        <v>53100</v>
      </c>
      <c r="C8" s="9" t="inlineStr">
        <is>
          <t>DT</t>
        </is>
      </c>
      <c r="D8" s="9" t="inlineStr">
        <is>
          <t>18 000 × 2,95</t>
        </is>
      </c>
    </row>
    <row r="9">
      <c r="A9" s="7" t="inlineStr">
        <is>
          <t>Frais d'import</t>
        </is>
      </c>
      <c r="B9" s="8" t="n">
        <v>1327.5</v>
      </c>
      <c r="C9" s="9" t="inlineStr">
        <is>
          <t>DT</t>
        </is>
      </c>
      <c r="D9" s="9" t="inlineStr">
        <is>
          <t>2,5 % du prix machine</t>
        </is>
      </c>
    </row>
    <row r="10">
      <c r="A10" s="7" t="inlineStr">
        <is>
          <t>Installation</t>
        </is>
      </c>
      <c r="B10" s="8" t="n">
        <v>3500</v>
      </c>
      <c r="C10" s="9" t="inlineStr">
        <is>
          <t>DT</t>
        </is>
      </c>
      <c r="D10" s="9" t="inlineStr">
        <is>
          <t>Prestataire local</t>
        </is>
      </c>
    </row>
    <row r="11">
      <c r="A11" s="7" t="inlineStr">
        <is>
          <t>Machine tout compris (HT)</t>
        </is>
      </c>
      <c r="B11" s="8" t="n">
        <v>57927.5</v>
      </c>
      <c r="C11" s="9" t="inlineStr">
        <is>
          <t>DT</t>
        </is>
      </c>
      <c r="D11" s="9" t="inlineStr">
        <is>
          <t>Immobilisation / base leasing. TVA 6 % récupérable</t>
        </is>
      </c>
    </row>
    <row r="12">
      <c r="A12" s="7" t="inlineStr">
        <is>
          <t>Taux leasing machine</t>
        </is>
      </c>
      <c r="B12" s="10" t="n">
        <v>0.12</v>
      </c>
      <c r="C12" s="9" t="inlineStr">
        <is>
          <t>%/an</t>
        </is>
      </c>
      <c r="D12" s="9" t="inlineStr">
        <is>
          <t>Leasing Tunisie ~12 % (plafond usure 16,28 %)</t>
        </is>
      </c>
    </row>
    <row r="13">
      <c r="A13" s="7" t="inlineStr">
        <is>
          <t>Durée leasing machine</t>
        </is>
      </c>
      <c r="B13" s="8" t="n">
        <v>7</v>
      </c>
      <c r="C13" s="9" t="inlineStr">
        <is>
          <t>ans</t>
        </is>
      </c>
      <c r="D13" s="9" t="inlineStr">
        <is>
          <t>Aligné durée de vie / contrat</t>
        </is>
      </c>
    </row>
    <row r="14">
      <c r="A14" s="7" t="inlineStr">
        <is>
          <t>Leasing machine / mois</t>
        </is>
      </c>
      <c r="B14" s="8" t="n">
        <v>1022.578679102493</v>
      </c>
      <c r="C14" s="9" t="inlineStr">
        <is>
          <t>DT</t>
        </is>
      </c>
      <c r="D14" s="9" t="inlineStr">
        <is>
          <t>Mensualité constante</t>
        </is>
      </c>
    </row>
    <row r="15">
      <c r="A15" s="7" t="inlineStr">
        <is>
          <t>Ventes station moyenne</t>
        </is>
      </c>
      <c r="B15" s="8" t="n">
        <v>12000</v>
      </c>
      <c r="C15" s="9" t="inlineStr">
        <is>
          <t>L/jour</t>
        </is>
      </c>
      <c r="D15" s="9" t="inlineStr">
        <is>
          <t>Station cible ≥ 12 000 L/j</t>
        </is>
      </c>
    </row>
    <row r="16">
      <c r="A16" s="7" t="inlineStr">
        <is>
          <t>Taux de récupération</t>
        </is>
      </c>
      <c r="B16" s="10" t="n">
        <v>0.005</v>
      </c>
      <c r="C16" s="9" t="inlineStr">
        <is>
          <t>L/L</t>
        </is>
      </c>
      <c r="D16" s="9" t="inlineStr">
        <is>
          <t>5/1000 — validé prototype 2019</t>
        </is>
      </c>
    </row>
    <row r="17">
      <c r="A17" s="7" t="inlineStr">
        <is>
          <t>Essence récupérée / machine</t>
        </is>
      </c>
      <c r="B17" s="8" t="n">
        <v>21900</v>
      </c>
      <c r="C17" s="9" t="inlineStr">
        <is>
          <t>L/an</t>
        </is>
      </c>
      <c r="D17" s="9" t="inlineStr">
        <is>
          <t>60 L/j × 365</t>
        </is>
      </c>
    </row>
    <row r="18">
      <c r="A18" s="7" t="inlineStr">
        <is>
          <t>Prix essence an 1</t>
        </is>
      </c>
      <c r="B18" s="8" t="n">
        <v>2.525</v>
      </c>
      <c r="C18" s="9" t="inlineStr">
        <is>
          <t>DT/L</t>
        </is>
      </c>
      <c r="D18" s="9" t="inlineStr">
        <is>
          <t>SNDP mai 2025</t>
        </is>
      </c>
    </row>
    <row r="19">
      <c r="A19" s="7" t="inlineStr">
        <is>
          <t>Hausse prix essence</t>
        </is>
      </c>
      <c r="B19" s="10" t="n">
        <v>0.045</v>
      </c>
      <c r="C19" s="9" t="inlineStr">
        <is>
          <t>%/an</t>
        </is>
      </c>
      <c r="D19" s="9" t="inlineStr">
        <is>
          <t>CAGR réel 2016-2026 ≈ +4,6 %</t>
        </is>
      </c>
    </row>
    <row r="20">
      <c r="A20" s="7" t="inlineStr">
        <is>
          <t>Part HCTECH</t>
        </is>
      </c>
      <c r="B20" s="10" t="n">
        <v>0.6</v>
      </c>
      <c r="C20" s="9" t="inlineStr">
        <is>
          <t>%</t>
        </is>
      </c>
      <c r="D20" s="9" t="inlineStr">
        <is>
          <t>Partage 60/40</t>
        </is>
      </c>
    </row>
    <row r="21">
      <c r="A21" s="7" t="inlineStr">
        <is>
          <t>Part station</t>
        </is>
      </c>
      <c r="B21" s="10" t="n">
        <v>0.4</v>
      </c>
      <c r="C21" s="9" t="inlineStr">
        <is>
          <t>%</t>
        </is>
      </c>
      <c r="D21" s="9" t="inlineStr">
        <is>
          <t>Partage 60/40</t>
        </is>
      </c>
    </row>
    <row r="22">
      <c r="A22" s="7" t="inlineStr">
        <is>
          <t>OPEX machine (maint+internet)</t>
        </is>
      </c>
      <c r="B22" s="8" t="n">
        <v>120</v>
      </c>
      <c r="C22" s="9" t="inlineStr">
        <is>
          <t>DT/mois</t>
        </is>
      </c>
      <c r="D22" s="9" t="inlineStr">
        <is>
          <t>Par machine</t>
        </is>
      </c>
    </row>
    <row r="23">
      <c r="A23" s="7" t="inlineStr">
        <is>
          <t>Charges patronales</t>
        </is>
      </c>
      <c r="B23" s="10" t="n">
        <v>0.21</v>
      </c>
      <c r="C23" s="9" t="inlineStr">
        <is>
          <t>%</t>
        </is>
      </c>
      <c r="D23" s="9" t="inlineStr">
        <is>
          <t>CNSS 17,07 + TFP 2 + FOPROLOS 1 + acc.</t>
        </is>
      </c>
    </row>
    <row r="24">
      <c r="A24" s="7" t="inlineStr">
        <is>
          <t>Salaire fondateur an 1</t>
        </is>
      </c>
      <c r="B24" s="8" t="n">
        <v>2000</v>
      </c>
      <c r="C24" s="9" t="inlineStr">
        <is>
          <t>DT/mois</t>
        </is>
      </c>
      <c r="D24" s="9" t="inlineStr">
        <is>
          <t>Lamine &amp; Ali</t>
        </is>
      </c>
    </row>
    <row r="25">
      <c r="A25" s="7" t="inlineStr">
        <is>
          <t>Croissance salaire fondateur</t>
        </is>
      </c>
      <c r="B25" s="10" t="n">
        <v>0.5</v>
      </c>
      <c r="C25" s="9" t="inlineStr">
        <is>
          <t>%/an</t>
        </is>
      </c>
      <c r="D25" s="9" t="inlineStr">
        <is>
          <t>Plafonné à 6 000 DT/mois</t>
        </is>
      </c>
    </row>
    <row r="26">
      <c r="A26" s="7" t="inlineStr">
        <is>
          <t>Plafond salaire fondateur</t>
        </is>
      </c>
      <c r="B26" s="8" t="n">
        <v>6000</v>
      </c>
      <c r="C26" s="9" t="inlineStr">
        <is>
          <t>DT/mois</t>
        </is>
      </c>
      <c r="D26" s="9" t="inlineStr">
        <is>
          <t>Décision actionnaires</t>
        </is>
      </c>
    </row>
    <row r="27">
      <c r="A27" s="7" t="inlineStr">
        <is>
          <t>Salaire technicien an 1</t>
        </is>
      </c>
      <c r="B27" s="8" t="n">
        <v>1200</v>
      </c>
      <c r="C27" s="9" t="inlineStr">
        <is>
          <t>DT/mois</t>
        </is>
      </c>
      <c r="D27" s="9" t="inlineStr">
        <is>
          <t>+7 %/an, 1 pour 48 machines</t>
        </is>
      </c>
    </row>
    <row r="28">
      <c r="A28" s="7" t="inlineStr">
        <is>
          <t>Loyer bureau+atelier an 1</t>
        </is>
      </c>
      <c r="B28" s="8" t="n">
        <v>1200</v>
      </c>
      <c r="C28" s="9" t="inlineStr">
        <is>
          <t>DT/mois</t>
        </is>
      </c>
      <c r="D28" s="9" t="inlineStr">
        <is>
          <t>+6 %/an</t>
        </is>
      </c>
    </row>
    <row r="29">
      <c r="A29" s="7" t="inlineStr">
        <is>
          <t>Frais généraux an 1</t>
        </is>
      </c>
      <c r="B29" s="8" t="n">
        <v>2000</v>
      </c>
      <c r="C29" s="9" t="inlineStr">
        <is>
          <t>DT/mois</t>
        </is>
      </c>
      <c r="D29" s="9" t="inlineStr">
        <is>
          <t>Compta, assur., banque, carburant… (+6 %/an)</t>
        </is>
      </c>
    </row>
    <row r="30">
      <c r="A30" s="7" t="inlineStr">
        <is>
          <t>Leasing véhicule / mois</t>
        </is>
      </c>
      <c r="B30" s="8" t="n">
        <v>1557.111337943123</v>
      </c>
      <c r="C30" s="9" t="inlineStr">
        <is>
          <t>DT</t>
        </is>
      </c>
      <c r="D30" s="9" t="inlineStr">
        <is>
          <t>70 000 DT @ 12 %/5 ans</t>
        </is>
      </c>
    </row>
    <row r="31">
      <c r="A31" s="7" t="inlineStr">
        <is>
          <t>IS (impôt sociétés)</t>
        </is>
      </c>
      <c r="B31" s="10" t="n">
        <v>0.25</v>
      </c>
      <c r="C31" s="9" t="inlineStr">
        <is>
          <t>%</t>
        </is>
      </c>
      <c r="D31" s="9" t="inlineStr">
        <is>
          <t>Services/commerce — LF 2025</t>
        </is>
      </c>
    </row>
    <row r="32">
      <c r="A32" s="7" t="inlineStr">
        <is>
          <t>CSS (contrib. solidarité)</t>
        </is>
      </c>
      <c r="B32" s="10" t="n">
        <v>0.03</v>
      </c>
      <c r="C32" s="9" t="inlineStr">
        <is>
          <t>%</t>
        </is>
      </c>
      <c r="D32" s="9" t="inlineStr">
        <is>
          <t>LF 2026, sociétés &lt; 35 %</t>
        </is>
      </c>
    </row>
    <row r="33">
      <c r="A33" t="inlineStr">
        <is>
          <t>Minimum d'impôt</t>
        </is>
      </c>
      <c r="B33" t="n">
        <v>0.001</v>
      </c>
      <c r="C33" t="inlineStr">
        <is>
          <t>% du CA</t>
        </is>
      </c>
      <c r="D33" t="inlineStr">
        <is>
          <t>Si déficit</t>
        </is>
      </c>
    </row>
    <row r="34">
      <c r="A34" t="inlineStr">
        <is>
          <t>Capital social</t>
        </is>
      </c>
      <c r="B34" t="n">
        <v>300000</v>
      </c>
      <c r="C34" t="inlineStr">
        <is>
          <t>DT</t>
        </is>
      </c>
      <c r="D34" t="inlineStr">
        <is>
          <t>Apporté intégralement par Nessim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Déploiement du parc</t>
        </is>
      </c>
    </row>
    <row r="2">
      <c r="A2" s="2" t="inlineStr">
        <is>
          <t>14 machines à M3, puis +14 tous les 6 mois — financées en leasing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5">
      <c r="A5" t="inlineStr">
        <is>
          <t>(année)</t>
        </is>
      </c>
      <c r="B5" t="inlineStr">
        <is>
          <t>An 1</t>
        </is>
      </c>
      <c r="C5" t="inlineStr">
        <is>
          <t>An 2</t>
        </is>
      </c>
      <c r="D5" t="inlineStr">
        <is>
          <t>An 3</t>
        </is>
      </c>
      <c r="E5" t="inlineStr">
        <is>
          <t>An 4</t>
        </is>
      </c>
      <c r="F5" t="inlineStr">
        <is>
          <t>An 5</t>
        </is>
      </c>
      <c r="G5" t="inlineStr">
        <is>
          <t>An 6</t>
        </is>
      </c>
      <c r="H5" t="inlineStr">
        <is>
          <t>An 7</t>
        </is>
      </c>
    </row>
    <row r="6">
      <c r="A6" s="7" t="inlineStr">
        <is>
          <t>Nouvelles machines</t>
        </is>
      </c>
      <c r="B6" s="11" t="n">
        <v>28</v>
      </c>
      <c r="C6" s="11" t="n">
        <v>28</v>
      </c>
      <c r="D6" s="11" t="n">
        <v>28</v>
      </c>
      <c r="E6" s="11" t="n">
        <v>28</v>
      </c>
      <c r="F6" s="11" t="n">
        <v>28</v>
      </c>
      <c r="G6" s="11" t="n">
        <v>28</v>
      </c>
      <c r="H6" s="11" t="n">
        <v>28</v>
      </c>
    </row>
    <row r="7">
      <c r="A7" s="12" t="inlineStr">
        <is>
          <t>Parc fin d'année</t>
        </is>
      </c>
      <c r="B7" s="13" t="n">
        <v>28</v>
      </c>
      <c r="C7" s="13" t="n">
        <v>56</v>
      </c>
      <c r="D7" s="13" t="n">
        <v>84</v>
      </c>
      <c r="E7" s="13" t="n">
        <v>112</v>
      </c>
      <c r="F7" s="13" t="n">
        <v>140</v>
      </c>
      <c r="G7" s="13" t="n">
        <v>168</v>
      </c>
      <c r="H7" s="13" t="n">
        <v>196</v>
      </c>
    </row>
    <row r="8">
      <c r="A8" s="7" t="inlineStr">
        <is>
          <t>Machine-années (prod.)</t>
        </is>
      </c>
      <c r="B8" s="14" t="n">
        <v>16.3</v>
      </c>
      <c r="C8" s="14" t="n">
        <v>44.3</v>
      </c>
      <c r="D8" s="14" t="n">
        <v>72.3</v>
      </c>
      <c r="E8" s="14" t="n">
        <v>100.3</v>
      </c>
      <c r="F8" s="14" t="n">
        <v>128.3</v>
      </c>
      <c r="G8" s="14" t="n">
        <v>156.3</v>
      </c>
      <c r="H8" s="14" t="n">
        <v>184.3</v>
      </c>
    </row>
    <row r="9">
      <c r="A9" s="7" t="inlineStr">
        <is>
          <t>Techniciens</t>
        </is>
      </c>
      <c r="B9" s="15" t="n">
        <v>1</v>
      </c>
      <c r="C9" s="15" t="n">
        <v>2</v>
      </c>
      <c r="D9" s="15" t="n">
        <v>2</v>
      </c>
      <c r="E9" s="15" t="n">
        <v>3</v>
      </c>
      <c r="F9" s="15" t="n">
        <v>3</v>
      </c>
      <c r="G9" s="15" t="n">
        <v>4</v>
      </c>
      <c r="H9" s="15" t="n">
        <v>5</v>
      </c>
    </row>
    <row r="10">
      <c r="A10" s="7" t="inlineStr">
        <is>
          <t>Prix essence (DT/L)</t>
        </is>
      </c>
      <c r="B10" s="16" t="n">
        <v>2.525</v>
      </c>
      <c r="C10" s="16" t="n">
        <v>2.639</v>
      </c>
      <c r="D10" s="16" t="n">
        <v>2.757</v>
      </c>
      <c r="E10" s="16" t="n">
        <v>2.881</v>
      </c>
      <c r="F10" s="16" t="n">
        <v>3.011</v>
      </c>
      <c r="G10" s="16" t="n">
        <v>3.147</v>
      </c>
      <c r="H10" s="16" t="n">
        <v>3.288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Compte de résultat prévisionnel (7 ans)</t>
        </is>
      </c>
    </row>
    <row r="2">
      <c r="A2" s="2" t="inlineStr">
        <is>
          <t>En DT — machines en leasing (pas d'amortissement machine, le leasing porte le financement)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5">
      <c r="A5" t="inlineStr">
        <is>
          <t>(en DT)</t>
        </is>
      </c>
      <c r="B5" t="inlineStr">
        <is>
          <t>An 1</t>
        </is>
      </c>
      <c r="C5" t="inlineStr">
        <is>
          <t>An 2</t>
        </is>
      </c>
      <c r="D5" t="inlineStr">
        <is>
          <t>An 3</t>
        </is>
      </c>
      <c r="E5" t="inlineStr">
        <is>
          <t>An 4</t>
        </is>
      </c>
      <c r="F5" t="inlineStr">
        <is>
          <t>An 5</t>
        </is>
      </c>
      <c r="G5" t="inlineStr">
        <is>
          <t>An 6</t>
        </is>
      </c>
      <c r="H5" t="inlineStr">
        <is>
          <t>An 7</t>
        </is>
      </c>
    </row>
    <row r="6">
      <c r="A6" s="17" t="inlineStr">
        <is>
          <t>CA HCTECH (60 %)</t>
        </is>
      </c>
      <c r="B6" s="18" t="n">
        <v>541915.5</v>
      </c>
      <c r="C6" s="18" t="n">
        <v>1537104.607499999</v>
      </c>
      <c r="D6" s="18" t="n">
        <v>2620763.355787499</v>
      </c>
      <c r="E6" s="18" t="n">
        <v>3798838.754590688</v>
      </c>
      <c r="F6" s="18" t="n">
        <v>5077633.89349069</v>
      </c>
      <c r="G6" s="18" t="n">
        <v>6463827.946413646</v>
      </c>
      <c r="H6" s="18" t="n">
        <v>7964497.255465353</v>
      </c>
    </row>
    <row r="7">
      <c r="A7" s="7" t="inlineStr">
        <is>
          <t>(−) OPEX machines</t>
        </is>
      </c>
      <c r="B7" s="11" t="n">
        <v>-23520</v>
      </c>
      <c r="C7" s="11" t="n">
        <v>-63840</v>
      </c>
      <c r="D7" s="11" t="n">
        <v>-104160</v>
      </c>
      <c r="E7" s="11" t="n">
        <v>-144480</v>
      </c>
      <c r="F7" s="11" t="n">
        <v>-184800</v>
      </c>
      <c r="G7" s="11" t="n">
        <v>-225120</v>
      </c>
      <c r="H7" s="11" t="n">
        <v>-265440</v>
      </c>
    </row>
    <row r="8">
      <c r="A8" s="7" t="inlineStr">
        <is>
          <t>(−) Leasing machines</t>
        </is>
      </c>
      <c r="B8" s="11" t="n">
        <v>-200425.4211040887</v>
      </c>
      <c r="C8" s="11" t="n">
        <v>-544011.8572825266</v>
      </c>
      <c r="D8" s="11" t="n">
        <v>-887598.2934609643</v>
      </c>
      <c r="E8" s="11" t="n">
        <v>-1231184.729639402</v>
      </c>
      <c r="F8" s="11" t="n">
        <v>-1574771.16581784</v>
      </c>
      <c r="G8" s="11" t="n">
        <v>-1918357.601996278</v>
      </c>
      <c r="H8" s="11" t="n">
        <v>-2261944.038174715</v>
      </c>
    </row>
    <row r="9">
      <c r="A9" s="7" t="inlineStr">
        <is>
          <t>(−) Masse salariale</t>
        </is>
      </c>
      <c r="B9" s="11" t="n">
        <v>-75504</v>
      </c>
      <c r="C9" s="11" t="n">
        <v>-111978.24</v>
      </c>
      <c r="D9" s="11" t="n">
        <v>-170577.4752</v>
      </c>
      <c r="E9" s="11" t="n">
        <v>-234717.922824</v>
      </c>
      <c r="F9" s="11" t="n">
        <v>-242757.92903472</v>
      </c>
      <c r="G9" s="11" t="n">
        <v>-267919.2351969145</v>
      </c>
      <c r="H9" s="11" t="n">
        <v>-287551.1444860069</v>
      </c>
    </row>
    <row r="10">
      <c r="A10" s="7" t="inlineStr">
        <is>
          <t>(−) Loyer</t>
        </is>
      </c>
      <c r="B10" s="11" t="n">
        <v>-14400</v>
      </c>
      <c r="C10" s="11" t="n">
        <v>-15264</v>
      </c>
      <c r="D10" s="11" t="n">
        <v>-16179.84</v>
      </c>
      <c r="E10" s="11" t="n">
        <v>-17150.6304</v>
      </c>
      <c r="F10" s="11" t="n">
        <v>-18179.668224</v>
      </c>
      <c r="G10" s="11" t="n">
        <v>-19270.44831744</v>
      </c>
      <c r="H10" s="11" t="n">
        <v>-20426.6752164864</v>
      </c>
    </row>
    <row r="11">
      <c r="A11" s="7" t="inlineStr">
        <is>
          <t>(−) Frais généraux</t>
        </is>
      </c>
      <c r="B11" s="11" t="n">
        <v>-24000</v>
      </c>
      <c r="C11" s="11" t="n">
        <v>-25440</v>
      </c>
      <c r="D11" s="11" t="n">
        <v>-26966.40000000001</v>
      </c>
      <c r="E11" s="11" t="n">
        <v>-28584.38399999999</v>
      </c>
      <c r="F11" s="11" t="n">
        <v>-30299.44704</v>
      </c>
      <c r="G11" s="11" t="n">
        <v>-32117.4138624</v>
      </c>
      <c r="H11" s="11" t="n">
        <v>-34044.45869414401</v>
      </c>
    </row>
    <row r="12">
      <c r="A12" s="7" t="inlineStr">
        <is>
          <t>(−) Leasing véhicule</t>
        </is>
      </c>
      <c r="B12" s="11" t="n">
        <v>-18685.33605531748</v>
      </c>
      <c r="C12" s="11" t="n">
        <v>-18685.33605531748</v>
      </c>
      <c r="D12" s="11" t="n">
        <v>-18685.33605531748</v>
      </c>
      <c r="E12" s="11" t="n">
        <v>-18685.33605531748</v>
      </c>
      <c r="F12" s="11" t="n">
        <v>-18685.33605531748</v>
      </c>
      <c r="G12" s="11" t="n">
        <v>-0</v>
      </c>
      <c r="H12" s="11" t="n">
        <v>-0</v>
      </c>
    </row>
    <row r="13">
      <c r="A13" s="12" t="inlineStr">
        <is>
          <t>Résultat d'exploitation</t>
        </is>
      </c>
      <c r="B13" s="13" t="n">
        <v>185380.7428405938</v>
      </c>
      <c r="C13" s="13" t="n">
        <v>757885.1741621555</v>
      </c>
      <c r="D13" s="13" t="n">
        <v>1396596.011071218</v>
      </c>
      <c r="E13" s="13" t="n">
        <v>2124035.751671968</v>
      </c>
      <c r="F13" s="13" t="n">
        <v>3008140.347318812</v>
      </c>
      <c r="G13" s="13" t="n">
        <v>4001043.247040614</v>
      </c>
      <c r="H13" s="13" t="n">
        <v>5095090.938894</v>
      </c>
    </row>
    <row r="14">
      <c r="A14" s="7" t="inlineStr">
        <is>
          <t>(−) Impôt (IS 25 % + CSS 3 %)</t>
        </is>
      </c>
      <c r="B14" s="11" t="n">
        <v>-51906.60799536626</v>
      </c>
      <c r="C14" s="11" t="n">
        <v>-212207.8487654036</v>
      </c>
      <c r="D14" s="11" t="n">
        <v>-391046.8830999411</v>
      </c>
      <c r="E14" s="11" t="n">
        <v>-594730.0104681511</v>
      </c>
      <c r="F14" s="11" t="n">
        <v>-842279.2972492673</v>
      </c>
      <c r="G14" s="11" t="n">
        <v>-1120292.109171372</v>
      </c>
      <c r="H14" s="11" t="n">
        <v>-1426625.46289032</v>
      </c>
    </row>
    <row r="15">
      <c r="A15" s="12" t="inlineStr">
        <is>
          <t>RÉSULTAT NET</t>
        </is>
      </c>
      <c r="B15" s="13" t="n">
        <v>133474.1348452275</v>
      </c>
      <c r="C15" s="13" t="n">
        <v>545677.325396752</v>
      </c>
      <c r="D15" s="13" t="n">
        <v>1005549.127971277</v>
      </c>
      <c r="E15" s="13" t="n">
        <v>1529305.741203817</v>
      </c>
      <c r="F15" s="13" t="n">
        <v>2165861.050069544</v>
      </c>
      <c r="G15" s="13" t="n">
        <v>2880751.137869242</v>
      </c>
      <c r="H15" s="13" t="n">
        <v>3668465.476003679</v>
      </c>
    </row>
    <row r="16">
      <c r="A16" s="17" t="inlineStr">
        <is>
          <t>Résultat net cumulé</t>
        </is>
      </c>
      <c r="B16" s="18" t="n">
        <v>133474.1348452275</v>
      </c>
      <c r="C16" s="18" t="n">
        <v>679151.4602419795</v>
      </c>
      <c r="D16" s="18" t="n">
        <v>1684700.588213257</v>
      </c>
      <c r="E16" s="18" t="n">
        <v>3214006.329417074</v>
      </c>
      <c r="F16" s="18" t="n">
        <v>5379867.379486619</v>
      </c>
      <c r="G16" s="18" t="n">
        <v>8260618.51735586</v>
      </c>
      <c r="H16" s="18" t="n">
        <v>11929083.99335954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Trésorerie (fin d'année)</t>
        </is>
      </c>
    </row>
    <row r="2">
      <c r="A2" s="2" t="inlineStr">
        <is>
          <t>Capital 300 k injecté an 1 — le parc s'autofinance, trésorerie toujours positive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5">
      <c r="A5" t="inlineStr">
        <is>
          <t>(en DT)</t>
        </is>
      </c>
      <c r="B5" t="inlineStr">
        <is>
          <t>An 1</t>
        </is>
      </c>
      <c r="C5" t="inlineStr">
        <is>
          <t>An 2</t>
        </is>
      </c>
      <c r="D5" t="inlineStr">
        <is>
          <t>An 3</t>
        </is>
      </c>
      <c r="E5" t="inlineStr">
        <is>
          <t>An 4</t>
        </is>
      </c>
      <c r="F5" t="inlineStr">
        <is>
          <t>An 5</t>
        </is>
      </c>
      <c r="G5" t="inlineStr">
        <is>
          <t>An 6</t>
        </is>
      </c>
      <c r="H5" t="inlineStr">
        <is>
          <t>An 7</t>
        </is>
      </c>
    </row>
    <row r="6">
      <c r="A6" s="7" t="inlineStr">
        <is>
          <t>Résultat net</t>
        </is>
      </c>
      <c r="B6" s="11" t="n">
        <v>133474.1348452275</v>
      </c>
      <c r="C6" s="11" t="n">
        <v>545677.325396752</v>
      </c>
      <c r="D6" s="11" t="n">
        <v>1005549.127971277</v>
      </c>
      <c r="E6" s="11" t="n">
        <v>1529305.741203817</v>
      </c>
      <c r="F6" s="11" t="n">
        <v>2165861.050069544</v>
      </c>
      <c r="G6" s="11" t="n">
        <v>2880751.137869242</v>
      </c>
      <c r="H6" s="11" t="n">
        <v>3668465.476003679</v>
      </c>
    </row>
    <row r="7">
      <c r="A7" s="7" t="inlineStr">
        <is>
          <t>Trésorerie avant distribution</t>
        </is>
      </c>
      <c r="B7" s="11" t="n">
        <v>485380.7428405938</v>
      </c>
      <c r="C7" s="11" t="n">
        <v>1191359.309007383</v>
      </c>
      <c r="D7" s="11" t="n">
        <v>2375747.471313197</v>
      </c>
      <c r="E7" s="11" t="n">
        <v>4108736.339885224</v>
      </c>
      <c r="F7" s="11" t="n">
        <v>6522146.676735889</v>
      </c>
      <c r="G7" s="11" t="n">
        <v>9680910.62652724</v>
      </c>
      <c r="H7" s="11" t="n">
        <v>13655709.45624987</v>
      </c>
    </row>
    <row r="8">
      <c r="A8" s="7" t="inlineStr">
        <is>
          <t>(−) Dividendes versés (cumulés)</t>
        </is>
      </c>
      <c r="B8" s="11" t="n">
        <v>0</v>
      </c>
      <c r="C8" s="11" t="n">
        <v>93431.89439165918</v>
      </c>
      <c r="D8" s="11" t="n">
        <v>475406.0221693856</v>
      </c>
      <c r="E8" s="11" t="n">
        <v>1179290.41174928</v>
      </c>
      <c r="F8" s="11" t="n">
        <v>2249804.430591952</v>
      </c>
      <c r="G8" s="11" t="n">
        <v>3765907.165640633</v>
      </c>
      <c r="H8" s="11" t="n">
        <v>5782432.962149101</v>
      </c>
    </row>
    <row r="9">
      <c r="A9" s="12" t="inlineStr">
        <is>
          <t>Trésorerie après distribution</t>
        </is>
      </c>
      <c r="B9" s="13" t="n">
        <v>485380.7428405938</v>
      </c>
      <c r="C9" s="13" t="n">
        <v>1097927.414615724</v>
      </c>
      <c r="D9" s="13" t="n">
        <v>1900341.449143811</v>
      </c>
      <c r="E9" s="13" t="n">
        <v>2929445.928135945</v>
      </c>
      <c r="F9" s="13" t="n">
        <v>4272342.246143937</v>
      </c>
      <c r="G9" s="13" t="n">
        <v>5915003.460886608</v>
      </c>
      <c r="H9" s="13" t="n">
        <v>7873276.494100771</v>
      </c>
    </row>
    <row r="11">
      <c r="A11" s="19" t="inlineStr">
        <is>
          <t>Trésorerie minimale sur 84 mois (avant distrib.) : 277,902 DT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</cols>
  <sheetData>
    <row r="1">
      <c r="A1" s="1" t="inlineStr">
        <is>
          <t>Économie unitaire par machine (an 1)</t>
        </is>
      </c>
    </row>
    <row r="2">
      <c r="A2" s="2" t="inlineStr">
        <is>
          <t>Chaque machine est bénéficiaire dès le 1er mois</t>
        </is>
      </c>
    </row>
    <row r="3">
      <c r="A3" s="6" t="n"/>
      <c r="B3" s="6" t="n"/>
      <c r="C3" s="6" t="n"/>
    </row>
    <row r="5">
      <c r="A5" t="inlineStr">
        <is>
          <t>Poste</t>
        </is>
      </c>
      <c r="B5" t="inlineStr">
        <is>
          <t>Valeur</t>
        </is>
      </c>
      <c r="C5" t="inlineStr">
        <is>
          <t>Note</t>
        </is>
      </c>
    </row>
    <row r="6">
      <c r="A6" s="9" t="inlineStr">
        <is>
          <t>Essence récupérée</t>
        </is>
      </c>
      <c r="B6" s="9" t="inlineStr">
        <is>
          <t>21,900 L/an</t>
        </is>
      </c>
      <c r="C6" s="9" t="inlineStr">
        <is>
          <t>60 L/j × 365</t>
        </is>
      </c>
    </row>
    <row r="7">
      <c r="A7" s="9" t="inlineStr">
        <is>
          <t>Valeur brute récupérée</t>
        </is>
      </c>
      <c r="B7" s="9" t="inlineStr">
        <is>
          <t>55,298 DT/an</t>
        </is>
      </c>
      <c r="C7" s="9" t="inlineStr">
        <is>
          <t>× 2,525 DT</t>
        </is>
      </c>
    </row>
    <row r="8">
      <c r="A8" s="9" t="inlineStr">
        <is>
          <t>Part HCTECH (60 %)</t>
        </is>
      </c>
      <c r="B8" s="9" t="inlineStr">
        <is>
          <t>33,178 DT/an</t>
        </is>
      </c>
      <c r="C8" s="9" t="inlineStr"/>
    </row>
    <row r="9">
      <c r="A9" s="9" t="inlineStr">
        <is>
          <t>Part station (40 %)</t>
        </is>
      </c>
      <c r="B9" s="9" t="inlineStr">
        <is>
          <t>22,119 DT/an</t>
        </is>
      </c>
      <c r="C9" s="9" t="inlineStr">
        <is>
          <t>≈ 1,843 DT/mois</t>
        </is>
      </c>
    </row>
    <row r="10">
      <c r="A10" s="9" t="inlineStr">
        <is>
          <t>(−) Leasing machine</t>
        </is>
      </c>
      <c r="B10" s="9" t="inlineStr">
        <is>
          <t>-12,271 DT/an</t>
        </is>
      </c>
      <c r="C10" s="9" t="inlineStr">
        <is>
          <t>57 928 @ 12 %/7 ans</t>
        </is>
      </c>
    </row>
    <row r="11">
      <c r="A11" s="9" t="inlineStr">
        <is>
          <t>(−) Maintenance + internet</t>
        </is>
      </c>
      <c r="B11" s="9" t="inlineStr">
        <is>
          <t>-1,440 DT/an</t>
        </is>
      </c>
      <c r="C11" s="9" t="inlineStr"/>
    </row>
    <row r="12">
      <c r="A12" s="20">
        <f> Marge nette / machine</f>
        <v/>
      </c>
      <c r="B12" s="20" t="inlineStr">
        <is>
          <t>19,468 DT/an</t>
        </is>
      </c>
      <c r="C12" s="20" t="inlineStr">
        <is>
          <t>avant frais de structure partagés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22" customWidth="1" min="4" max="4"/>
    <col width="46" customWidth="1" min="5" max="5"/>
  </cols>
  <sheetData>
    <row r="1">
      <c r="A1" s="1" t="inlineStr">
        <is>
          <t>Capital &amp; Actionnariat</t>
        </is>
      </c>
    </row>
    <row r="2">
      <c r="A2" s="2" t="inlineStr">
        <is>
          <t>Capital social 300 000 DT — apporté intégralement par Nessim Mami</t>
        </is>
      </c>
    </row>
    <row r="3">
      <c r="A3" s="6" t="n"/>
      <c r="B3" s="6" t="n"/>
      <c r="C3" s="6" t="n"/>
      <c r="D3" s="6" t="n"/>
      <c r="E3" s="6" t="n"/>
    </row>
    <row r="5">
      <c r="A5" t="inlineStr">
        <is>
          <t>Actionnaire</t>
        </is>
      </c>
      <c r="B5" t="inlineStr">
        <is>
          <t>% parts</t>
        </is>
      </c>
      <c r="C5" t="inlineStr">
        <is>
          <t>Apport cash</t>
        </is>
      </c>
      <c r="D5" t="inlineStr">
        <is>
          <t>Valeur implicite des parts</t>
        </is>
      </c>
      <c r="E5" t="inlineStr">
        <is>
          <t>Nature</t>
        </is>
      </c>
    </row>
    <row r="6">
      <c r="A6" s="9" t="inlineStr">
        <is>
          <t>Nessim Mami</t>
        </is>
      </c>
      <c r="B6" s="21" t="n">
        <v>0.5</v>
      </c>
      <c r="C6" s="11" t="n">
        <v>300000</v>
      </c>
      <c r="D6" s="11" t="n">
        <v>300000</v>
      </c>
      <c r="E6" s="9" t="inlineStr">
        <is>
          <t>Apport cash</t>
        </is>
      </c>
    </row>
    <row r="7">
      <c r="A7" s="9" t="inlineStr">
        <is>
          <t>Ali Ben Hamoud</t>
        </is>
      </c>
      <c r="B7" s="21" t="n">
        <v>0.25</v>
      </c>
      <c r="C7" s="11" t="n">
        <v>0</v>
      </c>
      <c r="D7" s="11" t="n">
        <v>150000</v>
      </c>
      <c r="E7" s="9" t="inlineStr">
        <is>
          <t>Apport industrie/nature (techno, réseau, gestion)</t>
        </is>
      </c>
    </row>
    <row r="8">
      <c r="A8" s="9" t="inlineStr">
        <is>
          <t>Lamine</t>
        </is>
      </c>
      <c r="B8" s="21" t="n">
        <v>0.25</v>
      </c>
      <c r="C8" s="11" t="n">
        <v>0</v>
      </c>
      <c r="D8" s="11" t="n">
        <v>150000</v>
      </c>
      <c r="E8" s="9" t="inlineStr">
        <is>
          <t>Apport industrie/nature (techno, réseau, gestion)</t>
        </is>
      </c>
    </row>
    <row r="9">
      <c r="A9" s="22" t="inlineStr">
        <is>
          <t>TOTAL</t>
        </is>
      </c>
      <c r="B9" s="23" t="n">
        <v>1</v>
      </c>
      <c r="C9" s="24" t="n">
        <v>300000</v>
      </c>
      <c r="D9" s="24" t="n">
        <v>600000</v>
      </c>
      <c r="E9" s="22" t="inlineStr"/>
    </row>
    <row r="11">
      <c r="A11" t="inlineStr">
        <is>
          <t>Note : Nessim finance 100 % du capital (300 k) pour 50 %. Les parts d'Ali et Lamine</t>
        </is>
      </c>
    </row>
    <row r="12">
      <c r="A12" t="inlineStr">
        <is>
          <t>correspondent à des apports en industrie/nature (exclusivité GEKO, réseau pétrolier, gestion)</t>
        </is>
      </c>
    </row>
    <row r="13">
      <c r="A13" t="inlineStr">
        <is>
          <t>valorisés ~300 k DT pre-money. À formaliser dans le pacte d'actionnaires.</t>
        </is>
      </c>
    </row>
    <row r="15">
      <c r="A15" s="25" t="inlineStr">
        <is>
          <t>Dividendes reçus sur 7 ans (Option 1) :</t>
        </is>
      </c>
    </row>
    <row r="16">
      <c r="A16" t="inlineStr">
        <is>
          <t>Nessim Mami</t>
        </is>
      </c>
      <c r="B16" t="inlineStr"/>
      <c r="C16" t="inlineStr"/>
      <c r="D16" s="26" t="n">
        <v>4355179.397675838</v>
      </c>
      <c r="E16" t="inlineStr">
        <is>
          <t>14.5× le capital</t>
        </is>
      </c>
    </row>
    <row r="17">
      <c r="A17" t="inlineStr">
        <is>
          <t>Ali Ben Hamoud</t>
        </is>
      </c>
      <c r="B17" t="inlineStr"/>
      <c r="C17" t="inlineStr"/>
      <c r="D17" s="26" t="n">
        <v>1997589.698837919</v>
      </c>
      <c r="E17" t="inlineStr"/>
    </row>
    <row r="18">
      <c r="A18" t="inlineStr">
        <is>
          <t>Lamine</t>
        </is>
      </c>
      <c r="B18" t="inlineStr"/>
      <c r="C18" t="inlineStr"/>
      <c r="D18" s="26" t="n">
        <v>1997589.698837919</v>
      </c>
      <c r="E18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Dividendes — Option 1 (Nessim prioritaire)</t>
        </is>
      </c>
    </row>
    <row r="2">
      <c r="A2" s="2" t="inlineStr">
        <is>
          <t>Nessim encaisse 100% jusqu'à capital + prime 20% (360k), puis pro-rata 50/25/25 · payout 70%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5">
      <c r="A5" t="inlineStr">
        <is>
          <t>Actionnaire</t>
        </is>
      </c>
      <c r="B5" t="inlineStr">
        <is>
          <t>An 1</t>
        </is>
      </c>
      <c r="C5" t="inlineStr">
        <is>
          <t>An 2</t>
        </is>
      </c>
      <c r="D5" t="inlineStr">
        <is>
          <t>An 3</t>
        </is>
      </c>
      <c r="E5" t="inlineStr">
        <is>
          <t>An 4</t>
        </is>
      </c>
      <c r="F5" t="inlineStr">
        <is>
          <t>An 5</t>
        </is>
      </c>
      <c r="G5" t="inlineStr">
        <is>
          <t>An 6</t>
        </is>
      </c>
      <c r="H5" t="inlineStr">
        <is>
          <t>An 7</t>
        </is>
      </c>
      <c r="I5" t="inlineStr">
        <is>
          <t>TOTAL 7 ans</t>
        </is>
      </c>
    </row>
    <row r="6">
      <c r="A6" s="27" t="inlineStr">
        <is>
          <t>Nessim Mami (50 %)</t>
        </is>
      </c>
      <c r="B6" s="13" t="n">
        <v>93431.89439165924</v>
      </c>
      <c r="C6" s="13" t="n">
        <v>324271.1166930336</v>
      </c>
      <c r="D6" s="13" t="n">
        <v>351942.194789947</v>
      </c>
      <c r="E6" s="13" t="n">
        <v>535257.009421336</v>
      </c>
      <c r="F6" s="13" t="n">
        <v>758051.3675243405</v>
      </c>
      <c r="G6" s="13" t="n">
        <v>1008262.898254234</v>
      </c>
      <c r="H6" s="13" t="n">
        <v>1283962.916601288</v>
      </c>
      <c r="I6" s="13" t="n">
        <v>4355179.397675838</v>
      </c>
    </row>
    <row r="7">
      <c r="A7" s="9" t="inlineStr">
        <is>
          <t>Ali Ben Hamoud (25 %)</t>
        </is>
      </c>
      <c r="B7" s="11" t="n">
        <v>0</v>
      </c>
      <c r="C7" s="11" t="n">
        <v>28851.50554234641</v>
      </c>
      <c r="D7" s="11" t="n">
        <v>175971.0973949735</v>
      </c>
      <c r="E7" s="11" t="n">
        <v>267628.504710668</v>
      </c>
      <c r="F7" s="11" t="n">
        <v>379025.6837621703</v>
      </c>
      <c r="G7" s="11" t="n">
        <v>504131.4491271172</v>
      </c>
      <c r="H7" s="11" t="n">
        <v>641981.4583006438</v>
      </c>
      <c r="I7" s="11" t="n">
        <v>1997589.698837919</v>
      </c>
    </row>
    <row r="8">
      <c r="A8" s="9" t="inlineStr">
        <is>
          <t>Lamine (25 %)</t>
        </is>
      </c>
      <c r="B8" s="11" t="n">
        <v>0</v>
      </c>
      <c r="C8" s="11" t="n">
        <v>28851.50554234641</v>
      </c>
      <c r="D8" s="11" t="n">
        <v>175971.0973949735</v>
      </c>
      <c r="E8" s="11" t="n">
        <v>267628.504710668</v>
      </c>
      <c r="F8" s="11" t="n">
        <v>379025.6837621703</v>
      </c>
      <c r="G8" s="11" t="n">
        <v>504131.4491271172</v>
      </c>
      <c r="H8" s="11" t="n">
        <v>641981.4583006438</v>
      </c>
      <c r="I8" s="11" t="n">
        <v>1997589.698837919</v>
      </c>
    </row>
    <row r="9">
      <c r="A9" s="18" t="inlineStr">
        <is>
          <t>TOTAL distribué</t>
        </is>
      </c>
      <c r="B9" s="18" t="n">
        <v>93431.89439165924</v>
      </c>
      <c r="C9" s="18" t="n">
        <v>381974.1277777264</v>
      </c>
      <c r="D9" s="18" t="n">
        <v>703884.3895798939</v>
      </c>
      <c r="E9" s="18" t="n">
        <v>1070514.018842672</v>
      </c>
      <c r="F9" s="18" t="n">
        <v>1516102.735048681</v>
      </c>
      <c r="G9" s="18" t="n">
        <v>2016525.796508469</v>
      </c>
      <c r="H9" s="18" t="n">
        <v>2567925.833202575</v>
      </c>
      <c r="I9" s="18" t="n">
        <v>8350358.795351677</v>
      </c>
    </row>
    <row r="11">
      <c r="A11" s="19" t="inlineStr">
        <is>
          <t>Nessim : capital remboursé fin An 2 · TRI ≈ 90 % · multiple 14.5× · total reçu 4,355,179 DT</t>
        </is>
      </c>
    </row>
    <row r="12">
      <c r="A12" t="inlineStr">
        <is>
          <t>Note : dividende déclaré au titre de l'exercice N, versé en N+1. 30 % du résultat conservé en réserve.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2026-06-16T17:12:59Z</dcterms:created>
  <dcterms:modified xmlns:dcterms="http://purl.org/dc/terms/" xmlns:xsi="http://www.w3.org/2001/XMLSchema-instance" xsi:type="dcterms:W3CDTF">2026-06-16T17:12:59Z</dcterms:modified>
</cp:coreProperties>
</file>