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155" activeTab="1"/>
  </bookViews>
  <sheets>
    <sheet name="Hypothèses" sheetId="1" r:id="rId1"/>
    <sheet name="Revenus" sheetId="2" r:id="rId2"/>
    <sheet name="Charges" sheetId="3" r:id="rId3"/>
    <sheet name="Leasing (2)" sheetId="8" r:id="rId4"/>
    <sheet name="Cash-Flow" sheetId="7" r:id="rId5"/>
    <sheet name="Leasing" sheetId="4" r:id="rId6"/>
    <sheet name="Résultats" sheetId="5" r:id="rId7"/>
    <sheet name="Synthèse" sheetId="6" r:id="rId8"/>
  </sheets>
  <calcPr calcId="152511"/>
</workbook>
</file>

<file path=xl/calcChain.xml><?xml version="1.0" encoding="utf-8"?>
<calcChain xmlns="http://schemas.openxmlformats.org/spreadsheetml/2006/main">
  <c r="I3" i="3" l="1"/>
  <c r="I4" i="3"/>
  <c r="I5" i="3"/>
  <c r="C2" i="2"/>
  <c r="D2" i="2" s="1"/>
  <c r="E2" i="2" s="1"/>
  <c r="C3" i="2"/>
  <c r="D3" i="2" s="1"/>
  <c r="E3" i="2" s="1"/>
  <c r="I18" i="3" l="1"/>
  <c r="E5" i="1"/>
  <c r="B8" i="1"/>
  <c r="C8" i="1"/>
  <c r="D8" i="1" s="1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2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C85" i="7" l="1"/>
  <c r="C86" i="7"/>
  <c r="J74" i="3" l="1"/>
  <c r="C74" i="5" s="1"/>
  <c r="J75" i="3"/>
  <c r="C75" i="5" s="1"/>
  <c r="J76" i="3"/>
  <c r="C76" i="5" s="1"/>
  <c r="J77" i="3"/>
  <c r="C77" i="5" s="1"/>
  <c r="J78" i="3"/>
  <c r="C78" i="5" s="1"/>
  <c r="J79" i="3"/>
  <c r="C79" i="5" s="1"/>
  <c r="J80" i="3"/>
  <c r="C80" i="5" s="1"/>
  <c r="J81" i="3"/>
  <c r="C81" i="7" s="1"/>
  <c r="J82" i="3"/>
  <c r="C82" i="7" s="1"/>
  <c r="J83" i="3"/>
  <c r="C83" i="7" s="1"/>
  <c r="J84" i="3"/>
  <c r="C84" i="7" s="1"/>
  <c r="D74" i="3"/>
  <c r="D75" i="3"/>
  <c r="D76" i="3"/>
  <c r="D77" i="3"/>
  <c r="D78" i="3"/>
  <c r="D79" i="3"/>
  <c r="D80" i="3"/>
  <c r="D81" i="3"/>
  <c r="D82" i="3"/>
  <c r="D83" i="3"/>
  <c r="D84" i="3"/>
  <c r="C74" i="3"/>
  <c r="C75" i="3"/>
  <c r="C76" i="3"/>
  <c r="C77" i="3"/>
  <c r="C78" i="3"/>
  <c r="C79" i="3"/>
  <c r="C80" i="3"/>
  <c r="C81" i="3"/>
  <c r="C82" i="3"/>
  <c r="C83" i="3"/>
  <c r="C84" i="3"/>
  <c r="C74" i="2"/>
  <c r="D74" i="2" s="1"/>
  <c r="E74" i="2" s="1"/>
  <c r="C75" i="2"/>
  <c r="D75" i="2" s="1"/>
  <c r="E75" i="2" s="1"/>
  <c r="C76" i="2"/>
  <c r="D76" i="2" s="1"/>
  <c r="E76" i="2" s="1"/>
  <c r="B76" i="5" s="1"/>
  <c r="C77" i="2"/>
  <c r="D77" i="2" s="1"/>
  <c r="E77" i="2" s="1"/>
  <c r="C78" i="2"/>
  <c r="D78" i="2" s="1"/>
  <c r="E78" i="2" s="1"/>
  <c r="C79" i="2"/>
  <c r="D79" i="2" s="1"/>
  <c r="E79" i="2" s="1"/>
  <c r="B79" i="7" s="1"/>
  <c r="C80" i="2"/>
  <c r="D80" i="2" s="1"/>
  <c r="E80" i="2" s="1"/>
  <c r="C81" i="2"/>
  <c r="D81" i="2" s="1"/>
  <c r="E81" i="2" s="1"/>
  <c r="C82" i="2"/>
  <c r="D82" i="2" s="1"/>
  <c r="E82" i="2" s="1"/>
  <c r="C83" i="2"/>
  <c r="D83" i="2" s="1"/>
  <c r="E83" i="2" s="1"/>
  <c r="C84" i="2"/>
  <c r="D84" i="2" s="1"/>
  <c r="E84" i="2" s="1"/>
  <c r="B84" i="5" s="1"/>
  <c r="B85" i="7"/>
  <c r="D85" i="7" s="1"/>
  <c r="B86" i="7"/>
  <c r="D86" i="7" s="1"/>
  <c r="B2" i="8"/>
  <c r="N2" i="8" s="1"/>
  <c r="B3" i="8"/>
  <c r="N3" i="8" s="1"/>
  <c r="B4" i="8"/>
  <c r="N4" i="8" s="1"/>
  <c r="B5" i="8"/>
  <c r="B6" i="8"/>
  <c r="B7" i="8"/>
  <c r="B8" i="8"/>
  <c r="B9" i="8"/>
  <c r="B10" i="8"/>
  <c r="B11" i="8"/>
  <c r="B12" i="8"/>
  <c r="B13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80" i="8"/>
  <c r="N80" i="8" s="1"/>
  <c r="J79" i="8"/>
  <c r="N79" i="8" s="1"/>
  <c r="C79" i="7" s="1"/>
  <c r="J78" i="8"/>
  <c r="N78" i="8" s="1"/>
  <c r="C78" i="7" s="1"/>
  <c r="J77" i="8"/>
  <c r="N77" i="8" s="1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M21" i="8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J21" i="8"/>
  <c r="F76" i="8"/>
  <c r="F75" i="8"/>
  <c r="N75" i="8" s="1"/>
  <c r="F74" i="8"/>
  <c r="N74" i="8" s="1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I17" i="8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F17" i="8"/>
  <c r="B73" i="8"/>
  <c r="B72" i="8"/>
  <c r="N72" i="8" s="1"/>
  <c r="B71" i="8"/>
  <c r="N71" i="8" s="1"/>
  <c r="B70" i="8"/>
  <c r="B69" i="8"/>
  <c r="N69" i="8" s="1"/>
  <c r="B68" i="8"/>
  <c r="N68" i="8" s="1"/>
  <c r="B67" i="8"/>
  <c r="N67" i="8" s="1"/>
  <c r="B66" i="8"/>
  <c r="B65" i="8"/>
  <c r="N65" i="8" s="1"/>
  <c r="B64" i="8"/>
  <c r="N64" i="8" s="1"/>
  <c r="B63" i="8"/>
  <c r="N63" i="8" s="1"/>
  <c r="B62" i="8"/>
  <c r="N62" i="8" s="1"/>
  <c r="B61" i="8"/>
  <c r="N61" i="8" s="1"/>
  <c r="B60" i="8"/>
  <c r="N60" i="8" s="1"/>
  <c r="B59" i="8"/>
  <c r="N59" i="8" s="1"/>
  <c r="B58" i="8"/>
  <c r="B57" i="8"/>
  <c r="N57" i="8" s="1"/>
  <c r="B56" i="8"/>
  <c r="N56" i="8" s="1"/>
  <c r="B55" i="8"/>
  <c r="N55" i="8" s="1"/>
  <c r="B54" i="8"/>
  <c r="N54" i="8" s="1"/>
  <c r="B53" i="8"/>
  <c r="N53" i="8" s="1"/>
  <c r="B52" i="8"/>
  <c r="N52" i="8" s="1"/>
  <c r="B51" i="8"/>
  <c r="N51" i="8" s="1"/>
  <c r="B50" i="8"/>
  <c r="B49" i="8"/>
  <c r="N49" i="8" s="1"/>
  <c r="B48" i="8"/>
  <c r="N48" i="8" s="1"/>
  <c r="B47" i="8"/>
  <c r="N47" i="8" s="1"/>
  <c r="B46" i="8"/>
  <c r="N46" i="8" s="1"/>
  <c r="B45" i="8"/>
  <c r="N45" i="8" s="1"/>
  <c r="B44" i="8"/>
  <c r="N44" i="8" s="1"/>
  <c r="B43" i="8"/>
  <c r="N43" i="8" s="1"/>
  <c r="B42" i="8"/>
  <c r="B41" i="8"/>
  <c r="N41" i="8" s="1"/>
  <c r="B40" i="8"/>
  <c r="N40" i="8" s="1"/>
  <c r="B39" i="8"/>
  <c r="N39" i="8" s="1"/>
  <c r="B38" i="8"/>
  <c r="N38" i="8" s="1"/>
  <c r="B37" i="8"/>
  <c r="N37" i="8" s="1"/>
  <c r="B36" i="8"/>
  <c r="N36" i="8" s="1"/>
  <c r="B35" i="8"/>
  <c r="N35" i="8" s="1"/>
  <c r="B34" i="8"/>
  <c r="B33" i="8"/>
  <c r="N33" i="8" s="1"/>
  <c r="B32" i="8"/>
  <c r="N32" i="8" s="1"/>
  <c r="B31" i="8"/>
  <c r="N31" i="8" s="1"/>
  <c r="B30" i="8"/>
  <c r="N30" i="8" s="1"/>
  <c r="B29" i="8"/>
  <c r="N29" i="8" s="1"/>
  <c r="B28" i="8"/>
  <c r="N28" i="8" s="1"/>
  <c r="B27" i="8"/>
  <c r="N27" i="8" s="1"/>
  <c r="B26" i="8"/>
  <c r="B25" i="8"/>
  <c r="N25" i="8" s="1"/>
  <c r="B24" i="8"/>
  <c r="N24" i="8" s="1"/>
  <c r="B23" i="8"/>
  <c r="N23" i="8" s="1"/>
  <c r="B22" i="8"/>
  <c r="N22" i="8" s="1"/>
  <c r="B21" i="8"/>
  <c r="N21" i="8" s="1"/>
  <c r="B20" i="8"/>
  <c r="N20" i="8" s="1"/>
  <c r="B19" i="8"/>
  <c r="N19" i="8" s="1"/>
  <c r="B18" i="8"/>
  <c r="B17" i="8"/>
  <c r="N17" i="8" s="1"/>
  <c r="B16" i="8"/>
  <c r="N16" i="8" s="1"/>
  <c r="B15" i="8"/>
  <c r="N15" i="8" s="1"/>
  <c r="E14" i="8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B14" i="8"/>
  <c r="N14" i="8" s="1"/>
  <c r="N70" i="8" l="1"/>
  <c r="N8" i="8"/>
  <c r="N7" i="8"/>
  <c r="C74" i="7"/>
  <c r="C81" i="5"/>
  <c r="C80" i="7"/>
  <c r="C75" i="7"/>
  <c r="C77" i="7"/>
  <c r="C84" i="5"/>
  <c r="C83" i="5"/>
  <c r="C82" i="5"/>
  <c r="N73" i="8"/>
  <c r="N18" i="8"/>
  <c r="N26" i="8"/>
  <c r="N34" i="8"/>
  <c r="N42" i="8"/>
  <c r="N50" i="8"/>
  <c r="N58" i="8"/>
  <c r="N66" i="8"/>
  <c r="N9" i="8"/>
  <c r="N76" i="8"/>
  <c r="C76" i="7" s="1"/>
  <c r="N6" i="8"/>
  <c r="N13" i="8"/>
  <c r="N5" i="8"/>
  <c r="N12" i="8"/>
  <c r="N11" i="8"/>
  <c r="N10" i="8"/>
  <c r="B75" i="7"/>
  <c r="B75" i="5"/>
  <c r="B83" i="5"/>
  <c r="B83" i="7"/>
  <c r="D83" i="7" s="1"/>
  <c r="B80" i="7"/>
  <c r="B80" i="5"/>
  <c r="B81" i="5"/>
  <c r="B81" i="7"/>
  <c r="D81" i="7" s="1"/>
  <c r="B77" i="7"/>
  <c r="B77" i="5"/>
  <c r="B78" i="7"/>
  <c r="D78" i="7" s="1"/>
  <c r="B78" i="5"/>
  <c r="B82" i="5"/>
  <c r="B82" i="7"/>
  <c r="D82" i="7" s="1"/>
  <c r="B74" i="5"/>
  <c r="B74" i="7"/>
  <c r="B76" i="7"/>
  <c r="B84" i="7"/>
  <c r="D84" i="7" s="1"/>
  <c r="B79" i="5"/>
  <c r="D79" i="7"/>
  <c r="D80" i="7" l="1"/>
  <c r="D74" i="7"/>
  <c r="D77" i="7"/>
  <c r="D75" i="7"/>
  <c r="D76" i="7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2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E15" i="4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14" i="4"/>
  <c r="D3" i="5" l="1"/>
  <c r="D4" i="5"/>
  <c r="D5" i="5"/>
  <c r="D6" i="5"/>
  <c r="D7" i="5"/>
  <c r="D8" i="5"/>
  <c r="D9" i="5"/>
  <c r="D10" i="5"/>
  <c r="D11" i="5"/>
  <c r="D12" i="5"/>
  <c r="D13" i="5"/>
  <c r="D2" i="5"/>
  <c r="J3" i="3"/>
  <c r="C3" i="7" s="1"/>
  <c r="J4" i="3"/>
  <c r="C4" i="7" s="1"/>
  <c r="J5" i="3"/>
  <c r="C5" i="7" s="1"/>
  <c r="J6" i="3"/>
  <c r="C6" i="7" s="1"/>
  <c r="J7" i="3"/>
  <c r="C7" i="7" s="1"/>
  <c r="J8" i="3"/>
  <c r="C8" i="7" s="1"/>
  <c r="J9" i="3"/>
  <c r="C9" i="7" s="1"/>
  <c r="J10" i="3"/>
  <c r="C10" i="7" s="1"/>
  <c r="J11" i="3"/>
  <c r="C11" i="7" s="1"/>
  <c r="J12" i="3"/>
  <c r="C12" i="7" s="1"/>
  <c r="J13" i="3"/>
  <c r="C13" i="7" s="1"/>
  <c r="J14" i="3"/>
  <c r="C14" i="7" s="1"/>
  <c r="J15" i="3"/>
  <c r="C15" i="7" s="1"/>
  <c r="J16" i="3"/>
  <c r="C16" i="7" s="1"/>
  <c r="J17" i="3"/>
  <c r="C17" i="7" s="1"/>
  <c r="J18" i="3"/>
  <c r="C18" i="7" s="1"/>
  <c r="J19" i="3"/>
  <c r="C19" i="7" s="1"/>
  <c r="J20" i="3"/>
  <c r="J21" i="3"/>
  <c r="C21" i="7" s="1"/>
  <c r="J22" i="3"/>
  <c r="C22" i="7" s="1"/>
  <c r="J23" i="3"/>
  <c r="C23" i="7" s="1"/>
  <c r="J24" i="3"/>
  <c r="C24" i="7" s="1"/>
  <c r="J25" i="3"/>
  <c r="C25" i="7" s="1"/>
  <c r="J26" i="3"/>
  <c r="C26" i="7" s="1"/>
  <c r="J27" i="3"/>
  <c r="C27" i="7" s="1"/>
  <c r="J28" i="3"/>
  <c r="C28" i="7" s="1"/>
  <c r="J29" i="3"/>
  <c r="C29" i="7" s="1"/>
  <c r="J30" i="3"/>
  <c r="C30" i="7" s="1"/>
  <c r="J31" i="3"/>
  <c r="C31" i="7" s="1"/>
  <c r="J32" i="3"/>
  <c r="C32" i="7" s="1"/>
  <c r="J33" i="3"/>
  <c r="C33" i="7" s="1"/>
  <c r="J34" i="3"/>
  <c r="C34" i="7" s="1"/>
  <c r="J35" i="3"/>
  <c r="C35" i="7" s="1"/>
  <c r="J36" i="3"/>
  <c r="C36" i="7" s="1"/>
  <c r="J37" i="3"/>
  <c r="C37" i="7" s="1"/>
  <c r="J38" i="3"/>
  <c r="C38" i="7" s="1"/>
  <c r="J39" i="3"/>
  <c r="C39" i="7" s="1"/>
  <c r="J40" i="3"/>
  <c r="C40" i="7" s="1"/>
  <c r="J41" i="3"/>
  <c r="C41" i="7" s="1"/>
  <c r="J42" i="3"/>
  <c r="C42" i="7" s="1"/>
  <c r="J43" i="3"/>
  <c r="C43" i="7" s="1"/>
  <c r="J44" i="3"/>
  <c r="C44" i="7" s="1"/>
  <c r="J45" i="3"/>
  <c r="C45" i="7" s="1"/>
  <c r="J46" i="3"/>
  <c r="C46" i="7" s="1"/>
  <c r="J47" i="3"/>
  <c r="C47" i="7" s="1"/>
  <c r="J48" i="3"/>
  <c r="C48" i="7" s="1"/>
  <c r="J49" i="3"/>
  <c r="C49" i="7" s="1"/>
  <c r="J50" i="3"/>
  <c r="C50" i="7" s="1"/>
  <c r="J51" i="3"/>
  <c r="C51" i="7" s="1"/>
  <c r="J52" i="3"/>
  <c r="C52" i="7" s="1"/>
  <c r="J53" i="3"/>
  <c r="C53" i="7" s="1"/>
  <c r="J54" i="3"/>
  <c r="C54" i="7" s="1"/>
  <c r="J55" i="3"/>
  <c r="C55" i="7" s="1"/>
  <c r="J56" i="3"/>
  <c r="C56" i="7" s="1"/>
  <c r="J57" i="3"/>
  <c r="C57" i="7" s="1"/>
  <c r="J58" i="3"/>
  <c r="C58" i="7" s="1"/>
  <c r="J59" i="3"/>
  <c r="C59" i="7" s="1"/>
  <c r="J60" i="3"/>
  <c r="C60" i="7" s="1"/>
  <c r="J61" i="3"/>
  <c r="C61" i="7" s="1"/>
  <c r="J62" i="3"/>
  <c r="C62" i="7" s="1"/>
  <c r="J63" i="3"/>
  <c r="C63" i="7" s="1"/>
  <c r="J64" i="3"/>
  <c r="C64" i="7" s="1"/>
  <c r="J65" i="3"/>
  <c r="C65" i="7" s="1"/>
  <c r="J66" i="3"/>
  <c r="C66" i="7" s="1"/>
  <c r="J67" i="3"/>
  <c r="C67" i="7" s="1"/>
  <c r="J68" i="3"/>
  <c r="C68" i="7" s="1"/>
  <c r="J69" i="3"/>
  <c r="C69" i="7" s="1"/>
  <c r="J70" i="3"/>
  <c r="C70" i="7" s="1"/>
  <c r="J71" i="3"/>
  <c r="C71" i="7" s="1"/>
  <c r="J72" i="3"/>
  <c r="C72" i="7" s="1"/>
  <c r="J73" i="3"/>
  <c r="C73" i="7" s="1"/>
  <c r="J2" i="3"/>
  <c r="C2" i="7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2" i="3"/>
  <c r="C4" i="2"/>
  <c r="C5" i="2"/>
  <c r="C6" i="2"/>
  <c r="D6" i="2" s="1"/>
  <c r="E6" i="2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B9" i="1"/>
  <c r="F5" i="1" s="1"/>
  <c r="G5" i="1" s="1"/>
  <c r="B7" i="1"/>
  <c r="C4" i="5" l="1"/>
  <c r="C3" i="5"/>
  <c r="C2" i="5"/>
  <c r="C73" i="5"/>
  <c r="C65" i="5"/>
  <c r="C57" i="5"/>
  <c r="C49" i="5"/>
  <c r="C41" i="5"/>
  <c r="C33" i="5"/>
  <c r="C25" i="5"/>
  <c r="C17" i="5"/>
  <c r="C7" i="5"/>
  <c r="C72" i="5"/>
  <c r="C64" i="5"/>
  <c r="C56" i="5"/>
  <c r="C48" i="5"/>
  <c r="C40" i="5"/>
  <c r="C32" i="5"/>
  <c r="C24" i="5"/>
  <c r="C16" i="5"/>
  <c r="C6" i="5"/>
  <c r="C71" i="5"/>
  <c r="C63" i="5"/>
  <c r="C55" i="5"/>
  <c r="C47" i="5"/>
  <c r="C39" i="5"/>
  <c r="C31" i="5"/>
  <c r="C23" i="5"/>
  <c r="C15" i="5"/>
  <c r="C70" i="5"/>
  <c r="C62" i="5"/>
  <c r="C54" i="5"/>
  <c r="C46" i="5"/>
  <c r="C38" i="5"/>
  <c r="C30" i="5"/>
  <c r="C22" i="5"/>
  <c r="C14" i="5"/>
  <c r="C69" i="5"/>
  <c r="C61" i="5"/>
  <c r="C53" i="5"/>
  <c r="C45" i="5"/>
  <c r="C37" i="5"/>
  <c r="C29" i="5"/>
  <c r="C21" i="5"/>
  <c r="C13" i="5"/>
  <c r="C68" i="5"/>
  <c r="C60" i="5"/>
  <c r="C52" i="5"/>
  <c r="C44" i="5"/>
  <c r="C36" i="5"/>
  <c r="C28" i="5"/>
  <c r="C20" i="5"/>
  <c r="C12" i="5"/>
  <c r="C67" i="5"/>
  <c r="C59" i="5"/>
  <c r="C51" i="5"/>
  <c r="C43" i="5"/>
  <c r="C35" i="5"/>
  <c r="C27" i="5"/>
  <c r="C19" i="5"/>
  <c r="C10" i="5"/>
  <c r="C66" i="5"/>
  <c r="C58" i="5"/>
  <c r="C50" i="5"/>
  <c r="C42" i="5"/>
  <c r="C34" i="5"/>
  <c r="C26" i="5"/>
  <c r="C18" i="5"/>
  <c r="C9" i="5"/>
  <c r="C11" i="5"/>
  <c r="C8" i="5"/>
  <c r="C5" i="5"/>
  <c r="D13" i="2"/>
  <c r="E13" i="2" s="1"/>
  <c r="D68" i="2"/>
  <c r="E68" i="2" s="1"/>
  <c r="D60" i="2"/>
  <c r="E60" i="2" s="1"/>
  <c r="D52" i="2"/>
  <c r="E52" i="2" s="1"/>
  <c r="B52" i="7" s="1"/>
  <c r="D52" i="7" s="1"/>
  <c r="D44" i="2"/>
  <c r="E44" i="2" s="1"/>
  <c r="D36" i="2"/>
  <c r="E36" i="2" s="1"/>
  <c r="D28" i="2"/>
  <c r="E28" i="2" s="1"/>
  <c r="D20" i="2"/>
  <c r="E20" i="2" s="1"/>
  <c r="D12" i="2"/>
  <c r="E12" i="2" s="1"/>
  <c r="D4" i="2"/>
  <c r="E4" i="2" s="1"/>
  <c r="D45" i="2"/>
  <c r="E45" i="2" s="1"/>
  <c r="D51" i="2"/>
  <c r="E51" i="2" s="1"/>
  <c r="B51" i="7" s="1"/>
  <c r="D51" i="7" s="1"/>
  <c r="D19" i="2"/>
  <c r="E19" i="2" s="1"/>
  <c r="D11" i="2"/>
  <c r="E11" i="2" s="1"/>
  <c r="D69" i="2"/>
  <c r="E69" i="2" s="1"/>
  <c r="B69" i="7" s="1"/>
  <c r="D69" i="7" s="1"/>
  <c r="D29" i="2"/>
  <c r="E29" i="2" s="1"/>
  <c r="D35" i="2"/>
  <c r="E35" i="2" s="1"/>
  <c r="D66" i="2"/>
  <c r="E66" i="2" s="1"/>
  <c r="D58" i="2"/>
  <c r="E58" i="2" s="1"/>
  <c r="B58" i="7" s="1"/>
  <c r="D58" i="7" s="1"/>
  <c r="D50" i="2"/>
  <c r="E50" i="2" s="1"/>
  <c r="D42" i="2"/>
  <c r="E42" i="2" s="1"/>
  <c r="D34" i="2"/>
  <c r="E34" i="2" s="1"/>
  <c r="D26" i="2"/>
  <c r="E26" i="2" s="1"/>
  <c r="B26" i="7" s="1"/>
  <c r="D26" i="7" s="1"/>
  <c r="D18" i="2"/>
  <c r="E18" i="2" s="1"/>
  <c r="D10" i="2"/>
  <c r="E10" i="2" s="1"/>
  <c r="D21" i="2"/>
  <c r="E21" i="2" s="1"/>
  <c r="D59" i="2"/>
  <c r="E59" i="2" s="1"/>
  <c r="B59" i="7" s="1"/>
  <c r="D59" i="7" s="1"/>
  <c r="D73" i="2"/>
  <c r="E73" i="2" s="1"/>
  <c r="D65" i="2"/>
  <c r="E65" i="2" s="1"/>
  <c r="D57" i="2"/>
  <c r="E57" i="2" s="1"/>
  <c r="D49" i="2"/>
  <c r="E49" i="2" s="1"/>
  <c r="B49" i="7" s="1"/>
  <c r="D49" i="7" s="1"/>
  <c r="D41" i="2"/>
  <c r="E41" i="2" s="1"/>
  <c r="D33" i="2"/>
  <c r="E33" i="2" s="1"/>
  <c r="D25" i="2"/>
  <c r="E25" i="2" s="1"/>
  <c r="D17" i="2"/>
  <c r="E17" i="2" s="1"/>
  <c r="B17" i="7" s="1"/>
  <c r="D17" i="7" s="1"/>
  <c r="D9" i="2"/>
  <c r="E9" i="2" s="1"/>
  <c r="D53" i="2"/>
  <c r="E53" i="2" s="1"/>
  <c r="D67" i="2"/>
  <c r="E67" i="2" s="1"/>
  <c r="D72" i="2"/>
  <c r="E72" i="2" s="1"/>
  <c r="D64" i="2"/>
  <c r="E64" i="2" s="1"/>
  <c r="D56" i="2"/>
  <c r="E56" i="2" s="1"/>
  <c r="D48" i="2"/>
  <c r="E48" i="2" s="1"/>
  <c r="B48" i="7" s="1"/>
  <c r="D48" i="7" s="1"/>
  <c r="D40" i="2"/>
  <c r="E40" i="2" s="1"/>
  <c r="D32" i="2"/>
  <c r="E32" i="2" s="1"/>
  <c r="D24" i="2"/>
  <c r="E24" i="2" s="1"/>
  <c r="D16" i="2"/>
  <c r="E16" i="2" s="1"/>
  <c r="B16" i="7" s="1"/>
  <c r="D16" i="7" s="1"/>
  <c r="D8" i="2"/>
  <c r="E8" i="2" s="1"/>
  <c r="D37" i="2"/>
  <c r="E37" i="2" s="1"/>
  <c r="D27" i="2"/>
  <c r="E27" i="2" s="1"/>
  <c r="D71" i="2"/>
  <c r="E71" i="2" s="1"/>
  <c r="B71" i="7" s="1"/>
  <c r="D71" i="7" s="1"/>
  <c r="D63" i="2"/>
  <c r="E63" i="2" s="1"/>
  <c r="D55" i="2"/>
  <c r="E55" i="2" s="1"/>
  <c r="D47" i="2"/>
  <c r="E47" i="2" s="1"/>
  <c r="D39" i="2"/>
  <c r="E39" i="2" s="1"/>
  <c r="B39" i="5" s="1"/>
  <c r="D31" i="2"/>
  <c r="E31" i="2" s="1"/>
  <c r="D23" i="2"/>
  <c r="E23" i="2" s="1"/>
  <c r="D15" i="2"/>
  <c r="E15" i="2" s="1"/>
  <c r="D7" i="2"/>
  <c r="E7" i="2" s="1"/>
  <c r="B7" i="7" s="1"/>
  <c r="D7" i="7" s="1"/>
  <c r="D61" i="2"/>
  <c r="E61" i="2" s="1"/>
  <c r="D5" i="2"/>
  <c r="E5" i="2" s="1"/>
  <c r="D43" i="2"/>
  <c r="E43" i="2" s="1"/>
  <c r="D70" i="2"/>
  <c r="E70" i="2" s="1"/>
  <c r="B70" i="7" s="1"/>
  <c r="D70" i="7" s="1"/>
  <c r="D62" i="2"/>
  <c r="E62" i="2" s="1"/>
  <c r="D54" i="2"/>
  <c r="E54" i="2" s="1"/>
  <c r="D46" i="2"/>
  <c r="E46" i="2" s="1"/>
  <c r="D38" i="2"/>
  <c r="E38" i="2" s="1"/>
  <c r="B38" i="7" s="1"/>
  <c r="D38" i="7" s="1"/>
  <c r="D30" i="2"/>
  <c r="E30" i="2" s="1"/>
  <c r="D22" i="2"/>
  <c r="E22" i="2" s="1"/>
  <c r="D14" i="2"/>
  <c r="E14" i="2" s="1"/>
  <c r="B6" i="5"/>
  <c r="F6" i="5" s="1"/>
  <c r="B6" i="7"/>
  <c r="D6" i="7" s="1"/>
  <c r="F39" i="5" l="1"/>
  <c r="B36" i="5"/>
  <c r="F36" i="5" s="1"/>
  <c r="B36" i="7"/>
  <c r="D36" i="7" s="1"/>
  <c r="B2" i="5"/>
  <c r="F2" i="5" s="1"/>
  <c r="B2" i="7"/>
  <c r="D2" i="7" s="1"/>
  <c r="E2" i="7" s="1"/>
  <c r="B11" i="7"/>
  <c r="D11" i="7" s="1"/>
  <c r="B11" i="5"/>
  <c r="F11" i="5" s="1"/>
  <c r="B35" i="7"/>
  <c r="D35" i="7" s="1"/>
  <c r="B35" i="5"/>
  <c r="F35" i="5" s="1"/>
  <c r="B68" i="7"/>
  <c r="D68" i="7" s="1"/>
  <c r="B68" i="5"/>
  <c r="F68" i="5" s="1"/>
  <c r="B20" i="7"/>
  <c r="B20" i="5"/>
  <c r="F20" i="5" s="1"/>
  <c r="B64" i="7"/>
  <c r="D64" i="7" s="1"/>
  <c r="B64" i="5"/>
  <c r="F64" i="5" s="1"/>
  <c r="B73" i="7"/>
  <c r="D73" i="7" s="1"/>
  <c r="B73" i="5"/>
  <c r="F73" i="5" s="1"/>
  <c r="B25" i="5"/>
  <c r="F25" i="5" s="1"/>
  <c r="B25" i="7"/>
  <c r="D25" i="7" s="1"/>
  <c r="B45" i="5"/>
  <c r="F45" i="5" s="1"/>
  <c r="B45" i="7"/>
  <c r="D45" i="7" s="1"/>
  <c r="B63" i="7"/>
  <c r="D63" i="7" s="1"/>
  <c r="B63" i="5"/>
  <c r="F63" i="5" s="1"/>
  <c r="B50" i="5"/>
  <c r="F50" i="5" s="1"/>
  <c r="B50" i="7"/>
  <c r="D50" i="7" s="1"/>
  <c r="B21" i="7"/>
  <c r="D21" i="7" s="1"/>
  <c r="B21" i="5"/>
  <c r="F21" i="5" s="1"/>
  <c r="B47" i="5"/>
  <c r="F47" i="5" s="1"/>
  <c r="B47" i="7"/>
  <c r="D47" i="7" s="1"/>
  <c r="B34" i="7"/>
  <c r="D34" i="7" s="1"/>
  <c r="B34" i="5"/>
  <c r="F34" i="5" s="1"/>
  <c r="B55" i="7"/>
  <c r="D55" i="7" s="1"/>
  <c r="B55" i="5"/>
  <c r="F55" i="5" s="1"/>
  <c r="B62" i="5"/>
  <c r="F62" i="5" s="1"/>
  <c r="B62" i="7"/>
  <c r="D62" i="7" s="1"/>
  <c r="B41" i="7"/>
  <c r="D41" i="7" s="1"/>
  <c r="B41" i="5"/>
  <c r="F41" i="5" s="1"/>
  <c r="B12" i="5"/>
  <c r="F12" i="5" s="1"/>
  <c r="B12" i="7"/>
  <c r="D12" i="7" s="1"/>
  <c r="B14" i="7"/>
  <c r="D14" i="7" s="1"/>
  <c r="B14" i="5"/>
  <c r="F14" i="5" s="1"/>
  <c r="B23" i="5"/>
  <c r="F23" i="5" s="1"/>
  <c r="B23" i="7"/>
  <c r="D23" i="7" s="1"/>
  <c r="B40" i="5"/>
  <c r="F40" i="5" s="1"/>
  <c r="B40" i="7"/>
  <c r="D40" i="7" s="1"/>
  <c r="B67" i="5"/>
  <c r="F67" i="5" s="1"/>
  <c r="B67" i="7"/>
  <c r="D67" i="7" s="1"/>
  <c r="B10" i="5"/>
  <c r="F10" i="5" s="1"/>
  <c r="B10" i="7"/>
  <c r="D10" i="7" s="1"/>
  <c r="B60" i="5"/>
  <c r="F60" i="5" s="1"/>
  <c r="B60" i="7"/>
  <c r="D60" i="7" s="1"/>
  <c r="B61" i="7"/>
  <c r="D61" i="7" s="1"/>
  <c r="B61" i="5"/>
  <c r="F61" i="5" s="1"/>
  <c r="B29" i="7"/>
  <c r="D29" i="7" s="1"/>
  <c r="B29" i="5"/>
  <c r="F29" i="5" s="1"/>
  <c r="B42" i="5"/>
  <c r="F42" i="5" s="1"/>
  <c r="B42" i="7"/>
  <c r="D42" i="7" s="1"/>
  <c r="B53" i="7"/>
  <c r="D53" i="7" s="1"/>
  <c r="B53" i="5"/>
  <c r="F53" i="5" s="1"/>
  <c r="B18" i="7"/>
  <c r="D18" i="7" s="1"/>
  <c r="B18" i="5"/>
  <c r="F18" i="5" s="1"/>
  <c r="B66" i="7"/>
  <c r="D66" i="7" s="1"/>
  <c r="B66" i="5"/>
  <c r="F66" i="5" s="1"/>
  <c r="B54" i="7"/>
  <c r="D54" i="7" s="1"/>
  <c r="B54" i="5"/>
  <c r="F54" i="5" s="1"/>
  <c r="B24" i="7"/>
  <c r="D24" i="7" s="1"/>
  <c r="B24" i="5"/>
  <c r="F24" i="5" s="1"/>
  <c r="B4" i="5"/>
  <c r="F4" i="5" s="1"/>
  <c r="B4" i="7"/>
  <c r="D4" i="7" s="1"/>
  <c r="B15" i="7"/>
  <c r="D15" i="7" s="1"/>
  <c r="B15" i="5"/>
  <c r="F15" i="5" s="1"/>
  <c r="B32" i="7"/>
  <c r="D32" i="7" s="1"/>
  <c r="B32" i="5"/>
  <c r="F32" i="5" s="1"/>
  <c r="B3" i="5"/>
  <c r="F3" i="5" s="1"/>
  <c r="B3" i="7"/>
  <c r="D3" i="7" s="1"/>
  <c r="B31" i="5"/>
  <c r="F31" i="5" s="1"/>
  <c r="B31" i="7"/>
  <c r="D31" i="7" s="1"/>
  <c r="B30" i="5"/>
  <c r="F30" i="5" s="1"/>
  <c r="B30" i="7"/>
  <c r="D30" i="7" s="1"/>
  <c r="B37" i="7"/>
  <c r="D37" i="7" s="1"/>
  <c r="B37" i="5"/>
  <c r="F37" i="5" s="1"/>
  <c r="B57" i="5"/>
  <c r="F57" i="5" s="1"/>
  <c r="B57" i="7"/>
  <c r="D57" i="7" s="1"/>
  <c r="B19" i="7"/>
  <c r="D19" i="7" s="1"/>
  <c r="B19" i="5"/>
  <c r="F19" i="5" s="1"/>
  <c r="B28" i="7"/>
  <c r="D28" i="7" s="1"/>
  <c r="B28" i="5"/>
  <c r="F28" i="5" s="1"/>
  <c r="B46" i="5"/>
  <c r="F46" i="5" s="1"/>
  <c r="B46" i="7"/>
  <c r="D46" i="7" s="1"/>
  <c r="B72" i="7"/>
  <c r="D72" i="7" s="1"/>
  <c r="B72" i="5"/>
  <c r="F72" i="5" s="1"/>
  <c r="B44" i="7"/>
  <c r="D44" i="7" s="1"/>
  <c r="B44" i="5"/>
  <c r="F44" i="5" s="1"/>
  <c r="B33" i="5"/>
  <c r="F33" i="5" s="1"/>
  <c r="B33" i="7"/>
  <c r="D33" i="7" s="1"/>
  <c r="B22" i="5"/>
  <c r="F22" i="5" s="1"/>
  <c r="B22" i="7"/>
  <c r="D22" i="7" s="1"/>
  <c r="B27" i="7"/>
  <c r="D27" i="7" s="1"/>
  <c r="B27" i="5"/>
  <c r="F27" i="5" s="1"/>
  <c r="B43" i="7"/>
  <c r="D43" i="7" s="1"/>
  <c r="B43" i="5"/>
  <c r="F43" i="5" s="1"/>
  <c r="B9" i="7"/>
  <c r="D9" i="7" s="1"/>
  <c r="B9" i="5"/>
  <c r="F9" i="5" s="1"/>
  <c r="B5" i="5"/>
  <c r="F5" i="5" s="1"/>
  <c r="B5" i="7"/>
  <c r="D5" i="7" s="1"/>
  <c r="B8" i="7"/>
  <c r="D8" i="7" s="1"/>
  <c r="B8" i="5"/>
  <c r="F8" i="5" s="1"/>
  <c r="B56" i="5"/>
  <c r="F56" i="5" s="1"/>
  <c r="B56" i="7"/>
  <c r="D56" i="7" s="1"/>
  <c r="B65" i="5"/>
  <c r="F65" i="5" s="1"/>
  <c r="B65" i="7"/>
  <c r="D65" i="7" s="1"/>
  <c r="B13" i="5"/>
  <c r="F13" i="5" s="1"/>
  <c r="B13" i="7"/>
  <c r="D13" i="7" s="1"/>
  <c r="B39" i="7"/>
  <c r="D39" i="7" s="1"/>
  <c r="B26" i="5"/>
  <c r="F26" i="5" s="1"/>
  <c r="B58" i="5"/>
  <c r="F58" i="5" s="1"/>
  <c r="B51" i="5"/>
  <c r="F51" i="5" s="1"/>
  <c r="B16" i="5"/>
  <c r="F16" i="5" s="1"/>
  <c r="B38" i="5"/>
  <c r="F38" i="5" s="1"/>
  <c r="B7" i="5"/>
  <c r="F7" i="5" s="1"/>
  <c r="B17" i="5"/>
  <c r="F17" i="5" s="1"/>
  <c r="B49" i="5"/>
  <c r="F49" i="5" s="1"/>
  <c r="B59" i="5"/>
  <c r="F59" i="5" s="1"/>
  <c r="B52" i="5"/>
  <c r="F52" i="5" s="1"/>
  <c r="B69" i="5"/>
  <c r="F69" i="5" s="1"/>
  <c r="B70" i="5"/>
  <c r="F70" i="5" s="1"/>
  <c r="B48" i="5"/>
  <c r="F48" i="5" s="1"/>
  <c r="B71" i="5"/>
  <c r="F71" i="5" s="1"/>
  <c r="E3" i="7" l="1"/>
  <c r="E4" i="7" s="1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C20" i="7"/>
  <c r="D20" i="7" s="1"/>
  <c r="E20" i="7" l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</calcChain>
</file>

<file path=xl/sharedStrings.xml><?xml version="1.0" encoding="utf-8"?>
<sst xmlns="http://schemas.openxmlformats.org/spreadsheetml/2006/main" count="80" uniqueCount="63">
  <si>
    <t>Élément</t>
  </si>
  <si>
    <t>Valeur</t>
  </si>
  <si>
    <t>Répartition Actionnaires</t>
  </si>
  <si>
    <t>A1:32,5% - A2:32,5% - A3:20% - A4:15%</t>
  </si>
  <si>
    <t>Prix machine (USD)</t>
  </si>
  <si>
    <t>Taux de change</t>
  </si>
  <si>
    <t>Prix machine (TND)</t>
  </si>
  <si>
    <t>TVA (6%)</t>
  </si>
  <si>
    <t>Mode financement</t>
  </si>
  <si>
    <t>Leasing</t>
  </si>
  <si>
    <t>Taux leasing</t>
  </si>
  <si>
    <t>Durée leasing</t>
  </si>
  <si>
    <t>6 ans</t>
  </si>
  <si>
    <t>Année de grâce</t>
  </si>
  <si>
    <t>1 an</t>
  </si>
  <si>
    <t>Mois</t>
  </si>
  <si>
    <t>Machines actives</t>
  </si>
  <si>
    <t>Revenu brut/machine (TND/mois)</t>
  </si>
  <si>
    <t>Revenu total société (TND)</t>
  </si>
  <si>
    <t>Salaires nets A3+A4</t>
  </si>
  <si>
    <t>Charges sociales (30%)</t>
  </si>
  <si>
    <t>Salaires + charges</t>
  </si>
  <si>
    <t>Bonus A1+A2</t>
  </si>
  <si>
    <t>Bureau</t>
  </si>
  <si>
    <t>Voiture</t>
  </si>
  <si>
    <t>Maintenance</t>
  </si>
  <si>
    <t>Installation</t>
  </si>
  <si>
    <t>Total charges (hors leasing)</t>
  </si>
  <si>
    <t>Mensualité totale</t>
  </si>
  <si>
    <t>Principal</t>
  </si>
  <si>
    <t>Solde restant dû (fin de mois)</t>
  </si>
  <si>
    <t>Revenus</t>
  </si>
  <si>
    <t>Charges (hors leasing)</t>
  </si>
  <si>
    <t>Intérêts leasing</t>
  </si>
  <si>
    <t>Principal leasing</t>
  </si>
  <si>
    <t>Résultat net</t>
  </si>
  <si>
    <t>Année</t>
  </si>
  <si>
    <t>Revenus totaux</t>
  </si>
  <si>
    <t>Charges totales (incl. leasing)</t>
  </si>
  <si>
    <t>Résultat net annuel</t>
  </si>
  <si>
    <t>Entrées de trésorerie (Revenus)</t>
  </si>
  <si>
    <t>Flux de trésorerie net</t>
  </si>
  <si>
    <t>Solde cumulé</t>
  </si>
  <si>
    <t>Capital social (TND)</t>
  </si>
  <si>
    <t>Fonds de roulement (TND)</t>
  </si>
  <si>
    <t>Frais installation (TND)</t>
  </si>
  <si>
    <t>moyenne litres vendus par kiosque cible par jour</t>
  </si>
  <si>
    <t>taux de récupération</t>
  </si>
  <si>
    <t>prix litre d'essence sans plomb (TND)</t>
  </si>
  <si>
    <t>Nombre de machines initial</t>
  </si>
  <si>
    <t>Interets</t>
  </si>
  <si>
    <t>charge leasing total</t>
  </si>
  <si>
    <t>Revenu société 60%/machine</t>
  </si>
  <si>
    <t>futurs achats machines</t>
  </si>
  <si>
    <t>trésorerie de départ (TND)</t>
  </si>
  <si>
    <t xml:space="preserve">avance 20% </t>
  </si>
  <si>
    <t xml:space="preserve">reliquat 80% </t>
  </si>
  <si>
    <t>Sorties de trésorerie 
(Charges + Leasing + achat machines)</t>
  </si>
  <si>
    <t>Frais import (2,5%)</t>
  </si>
  <si>
    <t>règlement futurs machines par notre
trésorerie (coût total 755 074,040 TND)</t>
  </si>
  <si>
    <t>151 014,808 TND avance 20%</t>
  </si>
  <si>
    <t>604 059,232 TND à m+9</t>
  </si>
  <si>
    <t>14 tout les 4 mois à patir du mois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</si>
</sst>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_-* #,##0.000\ _€_-;\-* #,##0.000\ _€_-;_-* &quot;-&quot;??\ _€_-;_-@_-"/>
    <numFmt numFmtId="165" formatCode="_-* #,##0\ _€_-;\-* #,##0\ _€_-;_-* &quot;-&quot;??\ _€_-;_-@_-"/>
    <numFmt numFmtId="166" formatCode="_-* #,##0.000\ _€_-;\-* #,##0.000\ _€_-;_-* &quot;-&quot;???\ _€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6" fontId="0" fillId="0" borderId="0" xfId="0" applyNumberFormat="1"/>
    <xf numFmtId="164" fontId="1" fillId="0" borderId="0" xfId="1" applyNumberFormat="1" applyFont="1" applyBorder="1" applyAlignment="1">
      <alignment horizontal="center" vertical="top"/>
    </xf>
    <xf numFmtId="164" fontId="1" fillId="0" borderId="2" xfId="1" applyNumberFormat="1" applyFont="1" applyFill="1" applyBorder="1" applyAlignment="1">
      <alignment horizontal="center" vertical="top"/>
    </xf>
    <xf numFmtId="164" fontId="1" fillId="0" borderId="1" xfId="1" applyNumberFormat="1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43" fontId="0" fillId="0" borderId="0" xfId="1" applyNumberFormat="1" applyFont="1" applyAlignment="1">
      <alignment horizontal="left" vertical="center"/>
    </xf>
    <xf numFmtId="43" fontId="0" fillId="0" borderId="0" xfId="1" applyFon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64" fontId="1" fillId="0" borderId="1" xfId="1" applyNumberFormat="1" applyFont="1" applyBorder="1" applyAlignment="1">
      <alignment horizontal="center" vertical="top" wrapText="1"/>
    </xf>
    <xf numFmtId="0" fontId="0" fillId="2" borderId="0" xfId="0" applyFill="1"/>
    <xf numFmtId="164" fontId="0" fillId="2" borderId="0" xfId="1" applyNumberFormat="1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4" workbookViewId="0">
      <selection activeCell="E16" sqref="E16"/>
    </sheetView>
  </sheetViews>
  <sheetFormatPr baseColWidth="10" defaultColWidth="8.85546875" defaultRowHeight="15" x14ac:dyDescent="0.25"/>
  <cols>
    <col min="1" max="1" width="38.140625" customWidth="1"/>
    <col min="2" max="2" width="35.140625" style="10" bestFit="1" customWidth="1"/>
    <col min="3" max="3" width="11.85546875" bestFit="1" customWidth="1"/>
    <col min="4" max="7" width="13.85546875" bestFit="1" customWidth="1"/>
  </cols>
  <sheetData>
    <row r="1" spans="1:7" x14ac:dyDescent="0.25">
      <c r="A1" s="5" t="s">
        <v>0</v>
      </c>
      <c r="B1" s="10" t="s">
        <v>1</v>
      </c>
    </row>
    <row r="2" spans="1:7" x14ac:dyDescent="0.25">
      <c r="A2" t="s">
        <v>43</v>
      </c>
      <c r="B2" s="11">
        <v>500000</v>
      </c>
    </row>
    <row r="3" spans="1:7" x14ac:dyDescent="0.25">
      <c r="A3" t="s">
        <v>44</v>
      </c>
      <c r="B3" s="11">
        <v>300000</v>
      </c>
    </row>
    <row r="4" spans="1:7" x14ac:dyDescent="0.25">
      <c r="A4" t="s">
        <v>2</v>
      </c>
      <c r="B4" s="10" t="s">
        <v>3</v>
      </c>
    </row>
    <row r="5" spans="1:7" x14ac:dyDescent="0.25">
      <c r="A5" t="s">
        <v>4</v>
      </c>
      <c r="B5" s="12">
        <v>17000</v>
      </c>
      <c r="E5" s="6">
        <f>B9*14</f>
        <v>755074.03999999992</v>
      </c>
      <c r="F5" s="6">
        <f>E5*0.2</f>
        <v>151014.80799999999</v>
      </c>
      <c r="G5" s="6">
        <f>E5-F5</f>
        <v>604059.23199999996</v>
      </c>
    </row>
    <row r="6" spans="1:7" x14ac:dyDescent="0.25">
      <c r="A6" t="s">
        <v>5</v>
      </c>
      <c r="B6" s="13">
        <v>2.92</v>
      </c>
    </row>
    <row r="7" spans="1:7" x14ac:dyDescent="0.25">
      <c r="A7" t="s">
        <v>6</v>
      </c>
      <c r="B7" s="11">
        <f>B5*B6</f>
        <v>49640</v>
      </c>
    </row>
    <row r="8" spans="1:7" x14ac:dyDescent="0.25">
      <c r="A8" t="s">
        <v>58</v>
      </c>
      <c r="B8" s="11">
        <f>B7*1.025</f>
        <v>50880.999999999993</v>
      </c>
      <c r="C8" s="6">
        <f>B7*0.025</f>
        <v>1241</v>
      </c>
      <c r="D8" s="6">
        <f>C8*14</f>
        <v>17374</v>
      </c>
    </row>
    <row r="9" spans="1:7" x14ac:dyDescent="0.25">
      <c r="A9" t="s">
        <v>7</v>
      </c>
      <c r="B9" s="11">
        <f>B8*1.06</f>
        <v>53933.859999999993</v>
      </c>
      <c r="D9" s="6"/>
      <c r="E9" s="6"/>
    </row>
    <row r="10" spans="1:7" x14ac:dyDescent="0.25">
      <c r="A10" t="s">
        <v>49</v>
      </c>
      <c r="B10" s="14">
        <v>54</v>
      </c>
      <c r="D10" s="3"/>
      <c r="E10" s="3"/>
      <c r="F10" s="3"/>
    </row>
    <row r="11" spans="1:7" x14ac:dyDescent="0.25">
      <c r="A11" t="s">
        <v>45</v>
      </c>
      <c r="B11" s="11">
        <v>3500</v>
      </c>
    </row>
    <row r="12" spans="1:7" x14ac:dyDescent="0.25">
      <c r="A12" t="s">
        <v>8</v>
      </c>
      <c r="B12" s="15" t="s">
        <v>9</v>
      </c>
    </row>
    <row r="13" spans="1:7" x14ac:dyDescent="0.25">
      <c r="A13" t="s">
        <v>10</v>
      </c>
      <c r="B13" s="16">
        <v>0.12</v>
      </c>
    </row>
    <row r="14" spans="1:7" x14ac:dyDescent="0.25">
      <c r="A14" t="s">
        <v>11</v>
      </c>
      <c r="B14" s="10" t="s">
        <v>12</v>
      </c>
    </row>
    <row r="15" spans="1:7" x14ac:dyDescent="0.25">
      <c r="A15" t="s">
        <v>13</v>
      </c>
      <c r="B15" s="10" t="s">
        <v>14</v>
      </c>
    </row>
    <row r="16" spans="1:7" ht="30.75" customHeight="1" x14ac:dyDescent="0.25">
      <c r="A16" s="4" t="s">
        <v>46</v>
      </c>
      <c r="B16" s="14">
        <v>15000</v>
      </c>
    </row>
    <row r="17" spans="1:2" x14ac:dyDescent="0.25">
      <c r="A17" t="s">
        <v>47</v>
      </c>
      <c r="B17" s="17">
        <v>4.0000000000000001E-3</v>
      </c>
    </row>
    <row r="18" spans="1:2" x14ac:dyDescent="0.25">
      <c r="A18" t="s">
        <v>48</v>
      </c>
      <c r="B18" s="11">
        <v>2.5249999999999999</v>
      </c>
    </row>
    <row r="19" spans="1:2" x14ac:dyDescent="0.25">
      <c r="A19" t="s">
        <v>53</v>
      </c>
      <c r="B19" s="10" t="s">
        <v>62</v>
      </c>
    </row>
    <row r="20" spans="1:2" x14ac:dyDescent="0.25">
      <c r="A20" s="21" t="s">
        <v>59</v>
      </c>
      <c r="B20" s="10" t="s">
        <v>60</v>
      </c>
    </row>
    <row r="21" spans="1:2" x14ac:dyDescent="0.25">
      <c r="A21" s="22"/>
      <c r="B21" s="10" t="s">
        <v>61</v>
      </c>
    </row>
    <row r="22" spans="1:2" x14ac:dyDescent="0.25">
      <c r="A22" t="s">
        <v>54</v>
      </c>
      <c r="B22" s="11">
        <v>300000</v>
      </c>
    </row>
  </sheetData>
  <mergeCells count="1">
    <mergeCell ref="A20:A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topLeftCell="A22" workbookViewId="0">
      <selection activeCell="B4" sqref="B4"/>
    </sheetView>
  </sheetViews>
  <sheetFormatPr baseColWidth="10" defaultColWidth="8.85546875" defaultRowHeight="15" x14ac:dyDescent="0.25"/>
  <cols>
    <col min="1" max="1" width="5.42578125" bestFit="1" customWidth="1"/>
    <col min="2" max="2" width="16.28515625" bestFit="1" customWidth="1"/>
    <col min="3" max="3" width="31.5703125" style="3" bestFit="1" customWidth="1"/>
    <col min="4" max="4" width="27.42578125" style="3" bestFit="1" customWidth="1"/>
    <col min="5" max="5" width="25" style="3" bestFit="1" customWidth="1"/>
  </cols>
  <sheetData>
    <row r="1" spans="1:5" x14ac:dyDescent="0.25">
      <c r="A1" s="1" t="s">
        <v>15</v>
      </c>
      <c r="B1" s="1" t="s">
        <v>16</v>
      </c>
      <c r="C1" s="2" t="s">
        <v>17</v>
      </c>
      <c r="D1" s="2" t="s">
        <v>52</v>
      </c>
      <c r="E1" s="2" t="s">
        <v>18</v>
      </c>
    </row>
    <row r="2" spans="1:5" x14ac:dyDescent="0.25">
      <c r="A2">
        <v>1</v>
      </c>
      <c r="B2">
        <v>0</v>
      </c>
      <c r="C2" s="3">
        <f>Hypothèses!$B$16*Hypothèses!$B$17*Hypothèses!$B$18*30</f>
        <v>4545</v>
      </c>
      <c r="D2" s="3">
        <f>C2*0.6</f>
        <v>2727</v>
      </c>
      <c r="E2" s="3">
        <f>D2*B2</f>
        <v>0</v>
      </c>
    </row>
    <row r="3" spans="1:5" x14ac:dyDescent="0.25">
      <c r="A3">
        <v>2</v>
      </c>
      <c r="B3">
        <v>0</v>
      </c>
      <c r="C3" s="3">
        <f>Hypothèses!$B$16*Hypothèses!$B$17*Hypothèses!$B$18*30</f>
        <v>4545</v>
      </c>
      <c r="D3" s="3">
        <f t="shared" ref="D3:D66" si="0">C3*0.6</f>
        <v>2727</v>
      </c>
      <c r="E3" s="3">
        <f t="shared" ref="E3" si="1">D3*B3</f>
        <v>0</v>
      </c>
    </row>
    <row r="4" spans="1:5" x14ac:dyDescent="0.25">
      <c r="A4">
        <v>3</v>
      </c>
      <c r="B4">
        <v>14</v>
      </c>
      <c r="C4" s="3">
        <f>Hypothèses!$B$16*Hypothèses!$B$17*Hypothèses!$B$18*30</f>
        <v>4545</v>
      </c>
      <c r="D4" s="3">
        <f t="shared" si="0"/>
        <v>2727</v>
      </c>
      <c r="E4" s="3">
        <f t="shared" ref="E4:E35" si="2">D4*B4</f>
        <v>38178</v>
      </c>
    </row>
    <row r="5" spans="1:5" x14ac:dyDescent="0.25">
      <c r="A5">
        <v>4</v>
      </c>
      <c r="B5">
        <v>14</v>
      </c>
      <c r="C5" s="3">
        <f>Hypothèses!$B$16*Hypothèses!$B$17*Hypothèses!$B$18*30</f>
        <v>4545</v>
      </c>
      <c r="D5" s="3">
        <f t="shared" si="0"/>
        <v>2727</v>
      </c>
      <c r="E5" s="3">
        <f t="shared" si="2"/>
        <v>38178</v>
      </c>
    </row>
    <row r="6" spans="1:5" x14ac:dyDescent="0.25">
      <c r="A6">
        <v>5</v>
      </c>
      <c r="B6">
        <v>14</v>
      </c>
      <c r="C6" s="3">
        <f>Hypothèses!$B$16*Hypothèses!$B$17*Hypothèses!$B$18*30</f>
        <v>4545</v>
      </c>
      <c r="D6" s="3">
        <f t="shared" si="0"/>
        <v>2727</v>
      </c>
      <c r="E6" s="3">
        <f t="shared" si="2"/>
        <v>38178</v>
      </c>
    </row>
    <row r="7" spans="1:5" x14ac:dyDescent="0.25">
      <c r="A7">
        <v>6</v>
      </c>
      <c r="B7">
        <v>28</v>
      </c>
      <c r="C7" s="3">
        <f>Hypothèses!$B$16*Hypothèses!$B$17*Hypothèses!$B$18*30</f>
        <v>4545</v>
      </c>
      <c r="D7" s="3">
        <f t="shared" si="0"/>
        <v>2727</v>
      </c>
      <c r="E7" s="3">
        <f t="shared" si="2"/>
        <v>76356</v>
      </c>
    </row>
    <row r="8" spans="1:5" x14ac:dyDescent="0.25">
      <c r="A8">
        <v>7</v>
      </c>
      <c r="B8">
        <v>28</v>
      </c>
      <c r="C8" s="3">
        <f>Hypothèses!$B$16*Hypothèses!$B$17*Hypothèses!$B$18*30</f>
        <v>4545</v>
      </c>
      <c r="D8" s="3">
        <f t="shared" si="0"/>
        <v>2727</v>
      </c>
      <c r="E8" s="3">
        <f t="shared" si="2"/>
        <v>76356</v>
      </c>
    </row>
    <row r="9" spans="1:5" x14ac:dyDescent="0.25">
      <c r="A9">
        <v>8</v>
      </c>
      <c r="B9">
        <v>28</v>
      </c>
      <c r="C9" s="3">
        <f>Hypothèses!$B$16*Hypothèses!$B$17*Hypothèses!$B$18*30</f>
        <v>4545</v>
      </c>
      <c r="D9" s="3">
        <f t="shared" si="0"/>
        <v>2727</v>
      </c>
      <c r="E9" s="3">
        <f t="shared" si="2"/>
        <v>76356</v>
      </c>
    </row>
    <row r="10" spans="1:5" x14ac:dyDescent="0.25">
      <c r="A10">
        <v>9</v>
      </c>
      <c r="B10">
        <v>42</v>
      </c>
      <c r="C10" s="3">
        <f>Hypothèses!$B$16*Hypothèses!$B$17*Hypothèses!$B$18*30</f>
        <v>4545</v>
      </c>
      <c r="D10" s="3">
        <f t="shared" si="0"/>
        <v>2727</v>
      </c>
      <c r="E10" s="3">
        <f t="shared" si="2"/>
        <v>114534</v>
      </c>
    </row>
    <row r="11" spans="1:5" x14ac:dyDescent="0.25">
      <c r="A11">
        <v>10</v>
      </c>
      <c r="B11">
        <v>42</v>
      </c>
      <c r="C11" s="3">
        <f>Hypothèses!$B$16*Hypothèses!$B$17*Hypothèses!$B$18*30</f>
        <v>4545</v>
      </c>
      <c r="D11" s="3">
        <f t="shared" si="0"/>
        <v>2727</v>
      </c>
      <c r="E11" s="3">
        <f t="shared" si="2"/>
        <v>114534</v>
      </c>
    </row>
    <row r="12" spans="1:5" x14ac:dyDescent="0.25">
      <c r="A12">
        <v>11</v>
      </c>
      <c r="B12">
        <v>42</v>
      </c>
      <c r="C12" s="3">
        <f>Hypothèses!$B$16*Hypothèses!$B$17*Hypothèses!$B$18*30</f>
        <v>4545</v>
      </c>
      <c r="D12" s="3">
        <f t="shared" si="0"/>
        <v>2727</v>
      </c>
      <c r="E12" s="3">
        <f t="shared" si="2"/>
        <v>114534</v>
      </c>
    </row>
    <row r="13" spans="1:5" x14ac:dyDescent="0.25">
      <c r="A13">
        <v>12</v>
      </c>
      <c r="B13">
        <v>56</v>
      </c>
      <c r="C13" s="3">
        <f>Hypothèses!$B$16*Hypothèses!$B$17*Hypothèses!$B$18*30</f>
        <v>4545</v>
      </c>
      <c r="D13" s="3">
        <f t="shared" si="0"/>
        <v>2727</v>
      </c>
      <c r="E13" s="3">
        <f t="shared" si="2"/>
        <v>152712</v>
      </c>
    </row>
    <row r="14" spans="1:5" x14ac:dyDescent="0.25">
      <c r="A14">
        <v>13</v>
      </c>
      <c r="B14">
        <v>56</v>
      </c>
      <c r="C14" s="3">
        <f>Hypothèses!$B$16*Hypothèses!$B$17*Hypothèses!$B$18*30</f>
        <v>4545</v>
      </c>
      <c r="D14" s="3">
        <f t="shared" si="0"/>
        <v>2727</v>
      </c>
      <c r="E14" s="3">
        <f t="shared" si="2"/>
        <v>152712</v>
      </c>
    </row>
    <row r="15" spans="1:5" x14ac:dyDescent="0.25">
      <c r="A15">
        <v>14</v>
      </c>
      <c r="B15">
        <v>56</v>
      </c>
      <c r="C15" s="3">
        <f>Hypothèses!$B$16*Hypothèses!$B$17*Hypothèses!$B$18*30</f>
        <v>4545</v>
      </c>
      <c r="D15" s="3">
        <f t="shared" si="0"/>
        <v>2727</v>
      </c>
      <c r="E15" s="3">
        <f t="shared" si="2"/>
        <v>152712</v>
      </c>
    </row>
    <row r="16" spans="1:5" x14ac:dyDescent="0.25">
      <c r="A16">
        <v>15</v>
      </c>
      <c r="B16">
        <v>56</v>
      </c>
      <c r="C16" s="3">
        <f>Hypothèses!$B$16*Hypothèses!$B$17*Hypothèses!$B$18*30</f>
        <v>4545</v>
      </c>
      <c r="D16" s="3">
        <f t="shared" si="0"/>
        <v>2727</v>
      </c>
      <c r="E16" s="3">
        <f t="shared" si="2"/>
        <v>152712</v>
      </c>
    </row>
    <row r="17" spans="1:5" x14ac:dyDescent="0.25">
      <c r="A17">
        <v>16</v>
      </c>
      <c r="B17">
        <v>70</v>
      </c>
      <c r="C17" s="3">
        <f>Hypothèses!$B$16*Hypothèses!$B$17*Hypothèses!$B$18*30</f>
        <v>4545</v>
      </c>
      <c r="D17" s="3">
        <f t="shared" si="0"/>
        <v>2727</v>
      </c>
      <c r="E17" s="3">
        <f t="shared" si="2"/>
        <v>190890</v>
      </c>
    </row>
    <row r="18" spans="1:5" x14ac:dyDescent="0.25">
      <c r="A18">
        <v>17</v>
      </c>
      <c r="B18">
        <v>70</v>
      </c>
      <c r="C18" s="3">
        <f>Hypothèses!$B$16*Hypothèses!$B$17*Hypothèses!$B$18*30</f>
        <v>4545</v>
      </c>
      <c r="D18" s="3">
        <f t="shared" si="0"/>
        <v>2727</v>
      </c>
      <c r="E18" s="3">
        <f t="shared" si="2"/>
        <v>190890</v>
      </c>
    </row>
    <row r="19" spans="1:5" x14ac:dyDescent="0.25">
      <c r="A19">
        <v>18</v>
      </c>
      <c r="B19">
        <v>70</v>
      </c>
      <c r="C19" s="3">
        <f>Hypothèses!$B$16*Hypothèses!$B$17*Hypothèses!$B$18*30</f>
        <v>4545</v>
      </c>
      <c r="D19" s="3">
        <f t="shared" si="0"/>
        <v>2727</v>
      </c>
      <c r="E19" s="3">
        <f t="shared" si="2"/>
        <v>190890</v>
      </c>
    </row>
    <row r="20" spans="1:5" x14ac:dyDescent="0.25">
      <c r="A20">
        <v>19</v>
      </c>
      <c r="B20">
        <v>70</v>
      </c>
      <c r="C20" s="3">
        <f>Hypothèses!$B$16*Hypothèses!$B$17*Hypothèses!$B$18*30</f>
        <v>4545</v>
      </c>
      <c r="D20" s="3">
        <f t="shared" si="0"/>
        <v>2727</v>
      </c>
      <c r="E20" s="3">
        <f t="shared" si="2"/>
        <v>190890</v>
      </c>
    </row>
    <row r="21" spans="1:5" x14ac:dyDescent="0.25">
      <c r="A21">
        <v>20</v>
      </c>
      <c r="B21">
        <v>84</v>
      </c>
      <c r="C21" s="3">
        <f>Hypothèses!$B$16*Hypothèses!$B$17*Hypothèses!$B$18*30</f>
        <v>4545</v>
      </c>
      <c r="D21" s="3">
        <f t="shared" si="0"/>
        <v>2727</v>
      </c>
      <c r="E21" s="3">
        <f t="shared" si="2"/>
        <v>229068</v>
      </c>
    </row>
    <row r="22" spans="1:5" x14ac:dyDescent="0.25">
      <c r="A22">
        <v>21</v>
      </c>
      <c r="B22">
        <v>84</v>
      </c>
      <c r="C22" s="3">
        <f>Hypothèses!$B$16*Hypothèses!$B$17*Hypothèses!$B$18*30</f>
        <v>4545</v>
      </c>
      <c r="D22" s="3">
        <f t="shared" si="0"/>
        <v>2727</v>
      </c>
      <c r="E22" s="3">
        <f t="shared" si="2"/>
        <v>229068</v>
      </c>
    </row>
    <row r="23" spans="1:5" x14ac:dyDescent="0.25">
      <c r="A23">
        <v>22</v>
      </c>
      <c r="B23">
        <v>84</v>
      </c>
      <c r="C23" s="3">
        <f>Hypothèses!$B$16*Hypothèses!$B$17*Hypothèses!$B$18*30</f>
        <v>4545</v>
      </c>
      <c r="D23" s="3">
        <f t="shared" si="0"/>
        <v>2727</v>
      </c>
      <c r="E23" s="3">
        <f t="shared" si="2"/>
        <v>229068</v>
      </c>
    </row>
    <row r="24" spans="1:5" x14ac:dyDescent="0.25">
      <c r="A24">
        <v>23</v>
      </c>
      <c r="B24">
        <v>84</v>
      </c>
      <c r="C24" s="3">
        <f>Hypothèses!$B$16*Hypothèses!$B$17*Hypothèses!$B$18*30</f>
        <v>4545</v>
      </c>
      <c r="D24" s="3">
        <f t="shared" si="0"/>
        <v>2727</v>
      </c>
      <c r="E24" s="3">
        <f t="shared" si="2"/>
        <v>229068</v>
      </c>
    </row>
    <row r="25" spans="1:5" x14ac:dyDescent="0.25">
      <c r="A25">
        <v>24</v>
      </c>
      <c r="B25">
        <v>98</v>
      </c>
      <c r="C25" s="3">
        <f>Hypothèses!$B$16*Hypothèses!$B$17*Hypothèses!$B$18*30</f>
        <v>4545</v>
      </c>
      <c r="D25" s="3">
        <f t="shared" si="0"/>
        <v>2727</v>
      </c>
      <c r="E25" s="3">
        <f t="shared" si="2"/>
        <v>267246</v>
      </c>
    </row>
    <row r="26" spans="1:5" x14ac:dyDescent="0.25">
      <c r="A26">
        <v>25</v>
      </c>
      <c r="B26">
        <v>98</v>
      </c>
      <c r="C26" s="3">
        <f>Hypothèses!$B$16*Hypothèses!$B$17*Hypothèses!$B$18*30</f>
        <v>4545</v>
      </c>
      <c r="D26" s="3">
        <f t="shared" si="0"/>
        <v>2727</v>
      </c>
      <c r="E26" s="3">
        <f t="shared" si="2"/>
        <v>267246</v>
      </c>
    </row>
    <row r="27" spans="1:5" x14ac:dyDescent="0.25">
      <c r="A27">
        <v>26</v>
      </c>
      <c r="B27">
        <v>98</v>
      </c>
      <c r="C27" s="3">
        <f>Hypothèses!$B$16*Hypothèses!$B$17*Hypothèses!$B$18*30</f>
        <v>4545</v>
      </c>
      <c r="D27" s="3">
        <f t="shared" si="0"/>
        <v>2727</v>
      </c>
      <c r="E27" s="3">
        <f t="shared" si="2"/>
        <v>267246</v>
      </c>
    </row>
    <row r="28" spans="1:5" x14ac:dyDescent="0.25">
      <c r="A28">
        <v>27</v>
      </c>
      <c r="B28">
        <v>98</v>
      </c>
      <c r="C28" s="3">
        <f>Hypothèses!$B$16*Hypothèses!$B$17*Hypothèses!$B$18*30</f>
        <v>4545</v>
      </c>
      <c r="D28" s="3">
        <f t="shared" si="0"/>
        <v>2727</v>
      </c>
      <c r="E28" s="3">
        <f t="shared" si="2"/>
        <v>267246</v>
      </c>
    </row>
    <row r="29" spans="1:5" x14ac:dyDescent="0.25">
      <c r="A29">
        <v>28</v>
      </c>
      <c r="B29">
        <v>112</v>
      </c>
      <c r="C29" s="3">
        <f>Hypothèses!$B$16*Hypothèses!$B$17*Hypothèses!$B$18*30</f>
        <v>4545</v>
      </c>
      <c r="D29" s="3">
        <f t="shared" si="0"/>
        <v>2727</v>
      </c>
      <c r="E29" s="3">
        <f t="shared" si="2"/>
        <v>305424</v>
      </c>
    </row>
    <row r="30" spans="1:5" x14ac:dyDescent="0.25">
      <c r="A30">
        <v>29</v>
      </c>
      <c r="B30">
        <v>112</v>
      </c>
      <c r="C30" s="3">
        <f>Hypothèses!$B$16*Hypothèses!$B$17*Hypothèses!$B$18*30</f>
        <v>4545</v>
      </c>
      <c r="D30" s="3">
        <f t="shared" si="0"/>
        <v>2727</v>
      </c>
      <c r="E30" s="3">
        <f t="shared" si="2"/>
        <v>305424</v>
      </c>
    </row>
    <row r="31" spans="1:5" x14ac:dyDescent="0.25">
      <c r="A31">
        <v>30</v>
      </c>
      <c r="B31">
        <v>112</v>
      </c>
      <c r="C31" s="3">
        <f>Hypothèses!$B$16*Hypothèses!$B$17*Hypothèses!$B$18*30</f>
        <v>4545</v>
      </c>
      <c r="D31" s="3">
        <f t="shared" si="0"/>
        <v>2727</v>
      </c>
      <c r="E31" s="3">
        <f t="shared" si="2"/>
        <v>305424</v>
      </c>
    </row>
    <row r="32" spans="1:5" x14ac:dyDescent="0.25">
      <c r="A32">
        <v>31</v>
      </c>
      <c r="B32">
        <v>112</v>
      </c>
      <c r="C32" s="3">
        <f>Hypothèses!$B$16*Hypothèses!$B$17*Hypothèses!$B$18*30</f>
        <v>4545</v>
      </c>
      <c r="D32" s="3">
        <f t="shared" si="0"/>
        <v>2727</v>
      </c>
      <c r="E32" s="3">
        <f t="shared" si="2"/>
        <v>305424</v>
      </c>
    </row>
    <row r="33" spans="1:5" x14ac:dyDescent="0.25">
      <c r="A33">
        <v>32</v>
      </c>
      <c r="B33">
        <v>126</v>
      </c>
      <c r="C33" s="3">
        <f>Hypothèses!$B$16*Hypothèses!$B$17*Hypothèses!$B$18*30</f>
        <v>4545</v>
      </c>
      <c r="D33" s="3">
        <f t="shared" si="0"/>
        <v>2727</v>
      </c>
      <c r="E33" s="3">
        <f t="shared" si="2"/>
        <v>343602</v>
      </c>
    </row>
    <row r="34" spans="1:5" x14ac:dyDescent="0.25">
      <c r="A34">
        <v>33</v>
      </c>
      <c r="B34">
        <v>126</v>
      </c>
      <c r="C34" s="3">
        <f>Hypothèses!$B$16*Hypothèses!$B$17*Hypothèses!$B$18*30</f>
        <v>4545</v>
      </c>
      <c r="D34" s="3">
        <f t="shared" si="0"/>
        <v>2727</v>
      </c>
      <c r="E34" s="3">
        <f t="shared" si="2"/>
        <v>343602</v>
      </c>
    </row>
    <row r="35" spans="1:5" x14ac:dyDescent="0.25">
      <c r="A35">
        <v>34</v>
      </c>
      <c r="B35">
        <v>126</v>
      </c>
      <c r="C35" s="3">
        <f>Hypothèses!$B$16*Hypothèses!$B$17*Hypothèses!$B$18*30</f>
        <v>4545</v>
      </c>
      <c r="D35" s="3">
        <f t="shared" si="0"/>
        <v>2727</v>
      </c>
      <c r="E35" s="3">
        <f t="shared" si="2"/>
        <v>343602</v>
      </c>
    </row>
    <row r="36" spans="1:5" x14ac:dyDescent="0.25">
      <c r="A36">
        <v>35</v>
      </c>
      <c r="B36">
        <v>126</v>
      </c>
      <c r="C36" s="3">
        <f>Hypothèses!$B$16*Hypothèses!$B$17*Hypothèses!$B$18*30</f>
        <v>4545</v>
      </c>
      <c r="D36" s="3">
        <f t="shared" si="0"/>
        <v>2727</v>
      </c>
      <c r="E36" s="3">
        <f t="shared" ref="E36:E67" si="3">D36*B36</f>
        <v>343602</v>
      </c>
    </row>
    <row r="37" spans="1:5" x14ac:dyDescent="0.25">
      <c r="A37">
        <v>36</v>
      </c>
      <c r="B37">
        <v>140</v>
      </c>
      <c r="C37" s="3">
        <f>Hypothèses!$B$16*Hypothèses!$B$17*Hypothèses!$B$18*30</f>
        <v>4545</v>
      </c>
      <c r="D37" s="3">
        <f t="shared" si="0"/>
        <v>2727</v>
      </c>
      <c r="E37" s="3">
        <f t="shared" si="3"/>
        <v>381780</v>
      </c>
    </row>
    <row r="38" spans="1:5" x14ac:dyDescent="0.25">
      <c r="A38">
        <v>37</v>
      </c>
      <c r="B38">
        <v>140</v>
      </c>
      <c r="C38" s="3">
        <f>Hypothèses!$B$16*Hypothèses!$B$17*Hypothèses!$B$18*30</f>
        <v>4545</v>
      </c>
      <c r="D38" s="3">
        <f t="shared" si="0"/>
        <v>2727</v>
      </c>
      <c r="E38" s="3">
        <f t="shared" si="3"/>
        <v>381780</v>
      </c>
    </row>
    <row r="39" spans="1:5" x14ac:dyDescent="0.25">
      <c r="A39">
        <v>38</v>
      </c>
      <c r="B39">
        <v>140</v>
      </c>
      <c r="C39" s="3">
        <f>Hypothèses!$B$16*Hypothèses!$B$17*Hypothèses!$B$18*30</f>
        <v>4545</v>
      </c>
      <c r="D39" s="3">
        <f t="shared" si="0"/>
        <v>2727</v>
      </c>
      <c r="E39" s="3">
        <f t="shared" si="3"/>
        <v>381780</v>
      </c>
    </row>
    <row r="40" spans="1:5" x14ac:dyDescent="0.25">
      <c r="A40">
        <v>39</v>
      </c>
      <c r="B40">
        <v>140</v>
      </c>
      <c r="C40" s="3">
        <f>Hypothèses!$B$16*Hypothèses!$B$17*Hypothèses!$B$18*30</f>
        <v>4545</v>
      </c>
      <c r="D40" s="3">
        <f t="shared" si="0"/>
        <v>2727</v>
      </c>
      <c r="E40" s="3">
        <f t="shared" si="3"/>
        <v>381780</v>
      </c>
    </row>
    <row r="41" spans="1:5" x14ac:dyDescent="0.25">
      <c r="A41">
        <v>40</v>
      </c>
      <c r="B41">
        <v>154</v>
      </c>
      <c r="C41" s="3">
        <f>Hypothèses!$B$16*Hypothèses!$B$17*Hypothèses!$B$18*30</f>
        <v>4545</v>
      </c>
      <c r="D41" s="3">
        <f t="shared" si="0"/>
        <v>2727</v>
      </c>
      <c r="E41" s="3">
        <f t="shared" si="3"/>
        <v>419958</v>
      </c>
    </row>
    <row r="42" spans="1:5" x14ac:dyDescent="0.25">
      <c r="A42">
        <v>41</v>
      </c>
      <c r="B42">
        <v>154</v>
      </c>
      <c r="C42" s="3">
        <f>Hypothèses!$B$16*Hypothèses!$B$17*Hypothèses!$B$18*30</f>
        <v>4545</v>
      </c>
      <c r="D42" s="3">
        <f t="shared" si="0"/>
        <v>2727</v>
      </c>
      <c r="E42" s="3">
        <f t="shared" si="3"/>
        <v>419958</v>
      </c>
    </row>
    <row r="43" spans="1:5" x14ac:dyDescent="0.25">
      <c r="A43">
        <v>42</v>
      </c>
      <c r="B43">
        <v>154</v>
      </c>
      <c r="C43" s="3">
        <f>Hypothèses!$B$16*Hypothèses!$B$17*Hypothèses!$B$18*30</f>
        <v>4545</v>
      </c>
      <c r="D43" s="3">
        <f t="shared" si="0"/>
        <v>2727</v>
      </c>
      <c r="E43" s="3">
        <f t="shared" si="3"/>
        <v>419958</v>
      </c>
    </row>
    <row r="44" spans="1:5" x14ac:dyDescent="0.25">
      <c r="A44">
        <v>43</v>
      </c>
      <c r="B44">
        <v>154</v>
      </c>
      <c r="C44" s="3">
        <f>Hypothèses!$B$16*Hypothèses!$B$17*Hypothèses!$B$18*30</f>
        <v>4545</v>
      </c>
      <c r="D44" s="3">
        <f t="shared" si="0"/>
        <v>2727</v>
      </c>
      <c r="E44" s="3">
        <f t="shared" si="3"/>
        <v>419958</v>
      </c>
    </row>
    <row r="45" spans="1:5" x14ac:dyDescent="0.25">
      <c r="A45">
        <v>44</v>
      </c>
      <c r="B45">
        <v>168</v>
      </c>
      <c r="C45" s="3">
        <f>Hypothèses!$B$16*Hypothèses!$B$17*Hypothèses!$B$18*30</f>
        <v>4545</v>
      </c>
      <c r="D45" s="3">
        <f t="shared" si="0"/>
        <v>2727</v>
      </c>
      <c r="E45" s="3">
        <f t="shared" si="3"/>
        <v>458136</v>
      </c>
    </row>
    <row r="46" spans="1:5" x14ac:dyDescent="0.25">
      <c r="A46">
        <v>45</v>
      </c>
      <c r="B46">
        <v>168</v>
      </c>
      <c r="C46" s="3">
        <f>Hypothèses!$B$16*Hypothèses!$B$17*Hypothèses!$B$18*30</f>
        <v>4545</v>
      </c>
      <c r="D46" s="3">
        <f t="shared" si="0"/>
        <v>2727</v>
      </c>
      <c r="E46" s="3">
        <f t="shared" si="3"/>
        <v>458136</v>
      </c>
    </row>
    <row r="47" spans="1:5" x14ac:dyDescent="0.25">
      <c r="A47">
        <v>46</v>
      </c>
      <c r="B47">
        <v>168</v>
      </c>
      <c r="C47" s="3">
        <f>Hypothèses!$B$16*Hypothèses!$B$17*Hypothèses!$B$18*30</f>
        <v>4545</v>
      </c>
      <c r="D47" s="3">
        <f t="shared" si="0"/>
        <v>2727</v>
      </c>
      <c r="E47" s="3">
        <f t="shared" si="3"/>
        <v>458136</v>
      </c>
    </row>
    <row r="48" spans="1:5" x14ac:dyDescent="0.25">
      <c r="A48">
        <v>47</v>
      </c>
      <c r="B48">
        <v>168</v>
      </c>
      <c r="C48" s="3">
        <f>Hypothèses!$B$16*Hypothèses!$B$17*Hypothèses!$B$18*30</f>
        <v>4545</v>
      </c>
      <c r="D48" s="3">
        <f t="shared" si="0"/>
        <v>2727</v>
      </c>
      <c r="E48" s="3">
        <f t="shared" si="3"/>
        <v>458136</v>
      </c>
    </row>
    <row r="49" spans="1:5" x14ac:dyDescent="0.25">
      <c r="A49">
        <v>48</v>
      </c>
      <c r="B49">
        <v>182</v>
      </c>
      <c r="C49" s="3">
        <f>Hypothèses!$B$16*Hypothèses!$B$17*Hypothèses!$B$18*30</f>
        <v>4545</v>
      </c>
      <c r="D49" s="3">
        <f t="shared" si="0"/>
        <v>2727</v>
      </c>
      <c r="E49" s="3">
        <f t="shared" si="3"/>
        <v>496314</v>
      </c>
    </row>
    <row r="50" spans="1:5" x14ac:dyDescent="0.25">
      <c r="A50">
        <v>49</v>
      </c>
      <c r="B50">
        <v>182</v>
      </c>
      <c r="C50" s="3">
        <f>Hypothèses!$B$16*Hypothèses!$B$17*Hypothèses!$B$18*30</f>
        <v>4545</v>
      </c>
      <c r="D50" s="3">
        <f t="shared" si="0"/>
        <v>2727</v>
      </c>
      <c r="E50" s="3">
        <f t="shared" si="3"/>
        <v>496314</v>
      </c>
    </row>
    <row r="51" spans="1:5" x14ac:dyDescent="0.25">
      <c r="A51">
        <v>50</v>
      </c>
      <c r="B51">
        <v>182</v>
      </c>
      <c r="C51" s="3">
        <f>Hypothèses!$B$16*Hypothèses!$B$17*Hypothèses!$B$18*30</f>
        <v>4545</v>
      </c>
      <c r="D51" s="3">
        <f t="shared" si="0"/>
        <v>2727</v>
      </c>
      <c r="E51" s="3">
        <f t="shared" si="3"/>
        <v>496314</v>
      </c>
    </row>
    <row r="52" spans="1:5" x14ac:dyDescent="0.25">
      <c r="A52">
        <v>51</v>
      </c>
      <c r="B52">
        <v>182</v>
      </c>
      <c r="C52" s="3">
        <f>Hypothèses!$B$16*Hypothèses!$B$17*Hypothèses!$B$18*30</f>
        <v>4545</v>
      </c>
      <c r="D52" s="3">
        <f t="shared" si="0"/>
        <v>2727</v>
      </c>
      <c r="E52" s="3">
        <f t="shared" si="3"/>
        <v>496314</v>
      </c>
    </row>
    <row r="53" spans="1:5" x14ac:dyDescent="0.25">
      <c r="A53">
        <v>52</v>
      </c>
      <c r="B53">
        <v>196</v>
      </c>
      <c r="C53" s="3">
        <f>Hypothèses!$B$16*Hypothèses!$B$17*Hypothèses!$B$18*30</f>
        <v>4545</v>
      </c>
      <c r="D53" s="3">
        <f t="shared" si="0"/>
        <v>2727</v>
      </c>
      <c r="E53" s="3">
        <f t="shared" si="3"/>
        <v>534492</v>
      </c>
    </row>
    <row r="54" spans="1:5" x14ac:dyDescent="0.25">
      <c r="A54">
        <v>53</v>
      </c>
      <c r="B54">
        <v>196</v>
      </c>
      <c r="C54" s="3">
        <f>Hypothèses!$B$16*Hypothèses!$B$17*Hypothèses!$B$18*30</f>
        <v>4545</v>
      </c>
      <c r="D54" s="3">
        <f t="shared" si="0"/>
        <v>2727</v>
      </c>
      <c r="E54" s="3">
        <f t="shared" si="3"/>
        <v>534492</v>
      </c>
    </row>
    <row r="55" spans="1:5" x14ac:dyDescent="0.25">
      <c r="A55">
        <v>54</v>
      </c>
      <c r="B55">
        <v>196</v>
      </c>
      <c r="C55" s="3">
        <f>Hypothèses!$B$16*Hypothèses!$B$17*Hypothèses!$B$18*30</f>
        <v>4545</v>
      </c>
      <c r="D55" s="3">
        <f t="shared" si="0"/>
        <v>2727</v>
      </c>
      <c r="E55" s="3">
        <f t="shared" si="3"/>
        <v>534492</v>
      </c>
    </row>
    <row r="56" spans="1:5" x14ac:dyDescent="0.25">
      <c r="A56">
        <v>55</v>
      </c>
      <c r="B56">
        <v>196</v>
      </c>
      <c r="C56" s="3">
        <f>Hypothèses!$B$16*Hypothèses!$B$17*Hypothèses!$B$18*30</f>
        <v>4545</v>
      </c>
      <c r="D56" s="3">
        <f t="shared" si="0"/>
        <v>2727</v>
      </c>
      <c r="E56" s="3">
        <f t="shared" si="3"/>
        <v>534492</v>
      </c>
    </row>
    <row r="57" spans="1:5" x14ac:dyDescent="0.25">
      <c r="A57">
        <v>56</v>
      </c>
      <c r="B57">
        <v>196</v>
      </c>
      <c r="C57" s="3">
        <f>Hypothèses!$B$16*Hypothèses!$B$17*Hypothèses!$B$18*30</f>
        <v>4545</v>
      </c>
      <c r="D57" s="3">
        <f t="shared" si="0"/>
        <v>2727</v>
      </c>
      <c r="E57" s="3">
        <f t="shared" si="3"/>
        <v>534492</v>
      </c>
    </row>
    <row r="58" spans="1:5" x14ac:dyDescent="0.25">
      <c r="A58">
        <v>57</v>
      </c>
      <c r="B58">
        <v>196</v>
      </c>
      <c r="C58" s="3">
        <f>Hypothèses!$B$16*Hypothèses!$B$17*Hypothèses!$B$18*30</f>
        <v>4545</v>
      </c>
      <c r="D58" s="3">
        <f t="shared" si="0"/>
        <v>2727</v>
      </c>
      <c r="E58" s="3">
        <f t="shared" si="3"/>
        <v>534492</v>
      </c>
    </row>
    <row r="59" spans="1:5" x14ac:dyDescent="0.25">
      <c r="A59">
        <v>58</v>
      </c>
      <c r="B59">
        <v>196</v>
      </c>
      <c r="C59" s="3">
        <f>Hypothèses!$B$16*Hypothèses!$B$17*Hypothèses!$B$18*30</f>
        <v>4545</v>
      </c>
      <c r="D59" s="3">
        <f t="shared" si="0"/>
        <v>2727</v>
      </c>
      <c r="E59" s="3">
        <f t="shared" si="3"/>
        <v>534492</v>
      </c>
    </row>
    <row r="60" spans="1:5" x14ac:dyDescent="0.25">
      <c r="A60">
        <v>59</v>
      </c>
      <c r="B60">
        <v>196</v>
      </c>
      <c r="C60" s="3">
        <f>Hypothèses!$B$16*Hypothèses!$B$17*Hypothèses!$B$18*30</f>
        <v>4545</v>
      </c>
      <c r="D60" s="3">
        <f t="shared" si="0"/>
        <v>2727</v>
      </c>
      <c r="E60" s="3">
        <f t="shared" si="3"/>
        <v>534492</v>
      </c>
    </row>
    <row r="61" spans="1:5" x14ac:dyDescent="0.25">
      <c r="A61">
        <v>60</v>
      </c>
      <c r="B61">
        <v>196</v>
      </c>
      <c r="C61" s="3">
        <f>Hypothèses!$B$16*Hypothèses!$B$17*Hypothèses!$B$18*30</f>
        <v>4545</v>
      </c>
      <c r="D61" s="3">
        <f t="shared" si="0"/>
        <v>2727</v>
      </c>
      <c r="E61" s="3">
        <f t="shared" si="3"/>
        <v>534492</v>
      </c>
    </row>
    <row r="62" spans="1:5" x14ac:dyDescent="0.25">
      <c r="A62">
        <v>61</v>
      </c>
      <c r="B62">
        <v>196</v>
      </c>
      <c r="C62" s="3">
        <f>Hypothèses!$B$16*Hypothèses!$B$17*Hypothèses!$B$18*30</f>
        <v>4545</v>
      </c>
      <c r="D62" s="3">
        <f t="shared" si="0"/>
        <v>2727</v>
      </c>
      <c r="E62" s="3">
        <f t="shared" si="3"/>
        <v>534492</v>
      </c>
    </row>
    <row r="63" spans="1:5" x14ac:dyDescent="0.25">
      <c r="A63">
        <v>62</v>
      </c>
      <c r="B63">
        <v>196</v>
      </c>
      <c r="C63" s="3">
        <f>Hypothèses!$B$16*Hypothèses!$B$17*Hypothèses!$B$18*30</f>
        <v>4545</v>
      </c>
      <c r="D63" s="3">
        <f t="shared" si="0"/>
        <v>2727</v>
      </c>
      <c r="E63" s="3">
        <f t="shared" si="3"/>
        <v>534492</v>
      </c>
    </row>
    <row r="64" spans="1:5" x14ac:dyDescent="0.25">
      <c r="A64">
        <v>63</v>
      </c>
      <c r="B64">
        <v>196</v>
      </c>
      <c r="C64" s="3">
        <f>Hypothèses!$B$16*Hypothèses!$B$17*Hypothèses!$B$18*30</f>
        <v>4545</v>
      </c>
      <c r="D64" s="3">
        <f t="shared" si="0"/>
        <v>2727</v>
      </c>
      <c r="E64" s="3">
        <f t="shared" si="3"/>
        <v>534492</v>
      </c>
    </row>
    <row r="65" spans="1:5" x14ac:dyDescent="0.25">
      <c r="A65">
        <v>64</v>
      </c>
      <c r="B65">
        <v>196</v>
      </c>
      <c r="C65" s="3">
        <f>Hypothèses!$B$16*Hypothèses!$B$17*Hypothèses!$B$18*30</f>
        <v>4545</v>
      </c>
      <c r="D65" s="3">
        <f t="shared" si="0"/>
        <v>2727</v>
      </c>
      <c r="E65" s="3">
        <f t="shared" si="3"/>
        <v>534492</v>
      </c>
    </row>
    <row r="66" spans="1:5" x14ac:dyDescent="0.25">
      <c r="A66">
        <v>65</v>
      </c>
      <c r="B66">
        <v>196</v>
      </c>
      <c r="C66" s="3">
        <f>Hypothèses!$B$16*Hypothèses!$B$17*Hypothèses!$B$18*30</f>
        <v>4545</v>
      </c>
      <c r="D66" s="3">
        <f t="shared" si="0"/>
        <v>2727</v>
      </c>
      <c r="E66" s="3">
        <f t="shared" si="3"/>
        <v>534492</v>
      </c>
    </row>
    <row r="67" spans="1:5" x14ac:dyDescent="0.25">
      <c r="A67">
        <v>66</v>
      </c>
      <c r="B67">
        <v>196</v>
      </c>
      <c r="C67" s="3">
        <f>Hypothèses!$B$16*Hypothèses!$B$17*Hypothèses!$B$18*30</f>
        <v>4545</v>
      </c>
      <c r="D67" s="3">
        <f t="shared" ref="D67:D84" si="4">C67*0.6</f>
        <v>2727</v>
      </c>
      <c r="E67" s="3">
        <f t="shared" si="3"/>
        <v>534492</v>
      </c>
    </row>
    <row r="68" spans="1:5" x14ac:dyDescent="0.25">
      <c r="A68">
        <v>67</v>
      </c>
      <c r="B68">
        <v>196</v>
      </c>
      <c r="C68" s="3">
        <f>Hypothèses!$B$16*Hypothèses!$B$17*Hypothèses!$B$18*30</f>
        <v>4545</v>
      </c>
      <c r="D68" s="3">
        <f t="shared" si="4"/>
        <v>2727</v>
      </c>
      <c r="E68" s="3">
        <f t="shared" ref="E68:E99" si="5">D68*B68</f>
        <v>534492</v>
      </c>
    </row>
    <row r="69" spans="1:5" x14ac:dyDescent="0.25">
      <c r="A69">
        <v>68</v>
      </c>
      <c r="B69">
        <v>196</v>
      </c>
      <c r="C69" s="3">
        <f>Hypothèses!$B$16*Hypothèses!$B$17*Hypothèses!$B$18*30</f>
        <v>4545</v>
      </c>
      <c r="D69" s="3">
        <f t="shared" si="4"/>
        <v>2727</v>
      </c>
      <c r="E69" s="3">
        <f t="shared" si="5"/>
        <v>534492</v>
      </c>
    </row>
    <row r="70" spans="1:5" x14ac:dyDescent="0.25">
      <c r="A70">
        <v>69</v>
      </c>
      <c r="B70">
        <v>196</v>
      </c>
      <c r="C70" s="3">
        <f>Hypothèses!$B$16*Hypothèses!$B$17*Hypothèses!$B$18*30</f>
        <v>4545</v>
      </c>
      <c r="D70" s="3">
        <f t="shared" si="4"/>
        <v>2727</v>
      </c>
      <c r="E70" s="3">
        <f t="shared" si="5"/>
        <v>534492</v>
      </c>
    </row>
    <row r="71" spans="1:5" x14ac:dyDescent="0.25">
      <c r="A71">
        <v>70</v>
      </c>
      <c r="B71">
        <v>196</v>
      </c>
      <c r="C71" s="3">
        <f>Hypothèses!$B$16*Hypothèses!$B$17*Hypothèses!$B$18*30</f>
        <v>4545</v>
      </c>
      <c r="D71" s="3">
        <f t="shared" si="4"/>
        <v>2727</v>
      </c>
      <c r="E71" s="3">
        <f t="shared" si="5"/>
        <v>534492</v>
      </c>
    </row>
    <row r="72" spans="1:5" x14ac:dyDescent="0.25">
      <c r="A72">
        <v>71</v>
      </c>
      <c r="B72">
        <v>196</v>
      </c>
      <c r="C72" s="3">
        <f>Hypothèses!$B$16*Hypothèses!$B$17*Hypothèses!$B$18*30</f>
        <v>4545</v>
      </c>
      <c r="D72" s="3">
        <f t="shared" si="4"/>
        <v>2727</v>
      </c>
      <c r="E72" s="3">
        <f t="shared" si="5"/>
        <v>534492</v>
      </c>
    </row>
    <row r="73" spans="1:5" x14ac:dyDescent="0.25">
      <c r="A73">
        <v>72</v>
      </c>
      <c r="B73">
        <v>196</v>
      </c>
      <c r="C73" s="3">
        <f>Hypothèses!$B$16*Hypothèses!$B$17*Hypothèses!$B$18*30</f>
        <v>4545</v>
      </c>
      <c r="D73" s="3">
        <f t="shared" si="4"/>
        <v>2727</v>
      </c>
      <c r="E73" s="3">
        <f t="shared" si="5"/>
        <v>534492</v>
      </c>
    </row>
    <row r="74" spans="1:5" x14ac:dyDescent="0.25">
      <c r="A74">
        <v>73</v>
      </c>
      <c r="B74">
        <v>196</v>
      </c>
      <c r="C74" s="3">
        <f>Hypothèses!$B$16*Hypothèses!$B$17*Hypothèses!$B$18*30</f>
        <v>4545</v>
      </c>
      <c r="D74" s="3">
        <f t="shared" si="4"/>
        <v>2727</v>
      </c>
      <c r="E74" s="3">
        <f t="shared" si="5"/>
        <v>534492</v>
      </c>
    </row>
    <row r="75" spans="1:5" x14ac:dyDescent="0.25">
      <c r="A75">
        <v>74</v>
      </c>
      <c r="B75">
        <v>196</v>
      </c>
      <c r="C75" s="3">
        <f>Hypothèses!$B$16*Hypothèses!$B$17*Hypothèses!$B$18*30</f>
        <v>4545</v>
      </c>
      <c r="D75" s="3">
        <f t="shared" si="4"/>
        <v>2727</v>
      </c>
      <c r="E75" s="3">
        <f t="shared" si="5"/>
        <v>534492</v>
      </c>
    </row>
    <row r="76" spans="1:5" x14ac:dyDescent="0.25">
      <c r="A76">
        <v>75</v>
      </c>
      <c r="B76">
        <v>196</v>
      </c>
      <c r="C76" s="3">
        <f>Hypothèses!$B$16*Hypothèses!$B$17*Hypothèses!$B$18*30</f>
        <v>4545</v>
      </c>
      <c r="D76" s="3">
        <f t="shared" si="4"/>
        <v>2727</v>
      </c>
      <c r="E76" s="3">
        <f t="shared" si="5"/>
        <v>534492</v>
      </c>
    </row>
    <row r="77" spans="1:5" x14ac:dyDescent="0.25">
      <c r="A77">
        <v>76</v>
      </c>
      <c r="B77">
        <v>196</v>
      </c>
      <c r="C77" s="3">
        <f>Hypothèses!$B$16*Hypothèses!$B$17*Hypothèses!$B$18*30</f>
        <v>4545</v>
      </c>
      <c r="D77" s="3">
        <f t="shared" si="4"/>
        <v>2727</v>
      </c>
      <c r="E77" s="3">
        <f t="shared" si="5"/>
        <v>534492</v>
      </c>
    </row>
    <row r="78" spans="1:5" x14ac:dyDescent="0.25">
      <c r="A78">
        <v>77</v>
      </c>
      <c r="B78">
        <v>196</v>
      </c>
      <c r="C78" s="3">
        <f>Hypothèses!$B$16*Hypothèses!$B$17*Hypothèses!$B$18*30</f>
        <v>4545</v>
      </c>
      <c r="D78" s="3">
        <f t="shared" si="4"/>
        <v>2727</v>
      </c>
      <c r="E78" s="3">
        <f t="shared" si="5"/>
        <v>534492</v>
      </c>
    </row>
    <row r="79" spans="1:5" x14ac:dyDescent="0.25">
      <c r="A79">
        <v>78</v>
      </c>
      <c r="B79">
        <v>196</v>
      </c>
      <c r="C79" s="3">
        <f>Hypothèses!$B$16*Hypothèses!$B$17*Hypothèses!$B$18*30</f>
        <v>4545</v>
      </c>
      <c r="D79" s="3">
        <f t="shared" si="4"/>
        <v>2727</v>
      </c>
      <c r="E79" s="3">
        <f t="shared" si="5"/>
        <v>534492</v>
      </c>
    </row>
    <row r="80" spans="1:5" x14ac:dyDescent="0.25">
      <c r="A80">
        <v>79</v>
      </c>
      <c r="B80">
        <v>196</v>
      </c>
      <c r="C80" s="3">
        <f>Hypothèses!$B$16*Hypothèses!$B$17*Hypothèses!$B$18*30</f>
        <v>4545</v>
      </c>
      <c r="D80" s="3">
        <f t="shared" si="4"/>
        <v>2727</v>
      </c>
      <c r="E80" s="3">
        <f t="shared" si="5"/>
        <v>534492</v>
      </c>
    </row>
    <row r="81" spans="1:5" x14ac:dyDescent="0.25">
      <c r="A81">
        <v>80</v>
      </c>
      <c r="B81">
        <v>196</v>
      </c>
      <c r="C81" s="3">
        <f>Hypothèses!$B$16*Hypothèses!$B$17*Hypothèses!$B$18*30</f>
        <v>4545</v>
      </c>
      <c r="D81" s="3">
        <f t="shared" si="4"/>
        <v>2727</v>
      </c>
      <c r="E81" s="3">
        <f t="shared" si="5"/>
        <v>534492</v>
      </c>
    </row>
    <row r="82" spans="1:5" x14ac:dyDescent="0.25">
      <c r="A82">
        <v>81</v>
      </c>
      <c r="B82">
        <v>196</v>
      </c>
      <c r="C82" s="3">
        <f>Hypothèses!$B$16*Hypothèses!$B$17*Hypothèses!$B$18*30</f>
        <v>4545</v>
      </c>
      <c r="D82" s="3">
        <f t="shared" si="4"/>
        <v>2727</v>
      </c>
      <c r="E82" s="3">
        <f t="shared" si="5"/>
        <v>534492</v>
      </c>
    </row>
    <row r="83" spans="1:5" x14ac:dyDescent="0.25">
      <c r="A83">
        <v>82</v>
      </c>
      <c r="B83">
        <v>196</v>
      </c>
      <c r="C83" s="3">
        <f>Hypothèses!$B$16*Hypothèses!$B$17*Hypothèses!$B$18*30</f>
        <v>4545</v>
      </c>
      <c r="D83" s="3">
        <f t="shared" si="4"/>
        <v>2727</v>
      </c>
      <c r="E83" s="3">
        <f t="shared" si="5"/>
        <v>534492</v>
      </c>
    </row>
    <row r="84" spans="1:5" x14ac:dyDescent="0.25">
      <c r="A84">
        <v>83</v>
      </c>
      <c r="B84">
        <v>196</v>
      </c>
      <c r="C84" s="3">
        <f>Hypothèses!$B$16*Hypothèses!$B$17*Hypothèses!$B$18*30</f>
        <v>4545</v>
      </c>
      <c r="D84" s="3">
        <f t="shared" si="4"/>
        <v>2727</v>
      </c>
      <c r="E84" s="3">
        <f t="shared" si="5"/>
        <v>534492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selection activeCell="J12" sqref="J12"/>
    </sheetView>
  </sheetViews>
  <sheetFormatPr baseColWidth="10" defaultColWidth="8.85546875" defaultRowHeight="15" x14ac:dyDescent="0.25"/>
  <cols>
    <col min="1" max="1" width="5.42578125" bestFit="1" customWidth="1"/>
    <col min="2" max="2" width="18.7109375" style="3" bestFit="1" customWidth="1"/>
    <col min="3" max="3" width="21.42578125" style="3" bestFit="1" customWidth="1"/>
    <col min="4" max="4" width="17" style="3" bestFit="1" customWidth="1"/>
    <col min="5" max="5" width="13.85546875" style="3" bestFit="1" customWidth="1"/>
    <col min="6" max="7" width="11.85546875" style="3" bestFit="1" customWidth="1"/>
    <col min="8" max="8" width="13.140625" style="3" bestFit="1" customWidth="1"/>
    <col min="9" max="9" width="12.85546875" style="3" bestFit="1" customWidth="1"/>
    <col min="10" max="10" width="25.7109375" style="3" bestFit="1" customWidth="1"/>
  </cols>
  <sheetData>
    <row r="1" spans="1:10" x14ac:dyDescent="0.25">
      <c r="A1" s="1" t="s">
        <v>15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x14ac:dyDescent="0.25">
      <c r="A2">
        <v>1</v>
      </c>
      <c r="B2" s="3">
        <v>4000</v>
      </c>
      <c r="C2" s="3">
        <f>B2*0.3</f>
        <v>1200</v>
      </c>
      <c r="D2" s="3">
        <f>C2+B2</f>
        <v>5200</v>
      </c>
      <c r="E2" s="3">
        <v>0</v>
      </c>
      <c r="F2" s="3">
        <v>1500</v>
      </c>
      <c r="G2" s="3">
        <v>2000</v>
      </c>
      <c r="H2" s="3">
        <f>100*Revenus!B2</f>
        <v>0</v>
      </c>
      <c r="I2" s="3">
        <v>0</v>
      </c>
      <c r="J2" s="3">
        <f>D2+E2+F2+G2+H2+I2</f>
        <v>8700</v>
      </c>
    </row>
    <row r="3" spans="1:10" x14ac:dyDescent="0.25">
      <c r="A3">
        <v>2</v>
      </c>
      <c r="B3" s="3">
        <v>4000</v>
      </c>
      <c r="C3" s="3">
        <f t="shared" ref="C3:C66" si="0">B3*0.3</f>
        <v>1200</v>
      </c>
      <c r="D3" s="3">
        <f t="shared" ref="D3:D66" si="1">C3+B3</f>
        <v>5200</v>
      </c>
      <c r="E3" s="3">
        <v>0</v>
      </c>
      <c r="F3" s="3">
        <v>1500</v>
      </c>
      <c r="G3" s="3">
        <v>2000</v>
      </c>
      <c r="H3" s="3">
        <f>100*Revenus!B3</f>
        <v>0</v>
      </c>
      <c r="I3" s="3">
        <f>Hypothèses!$B$11*(Revenus!B4-Revenus!B3)</f>
        <v>49000</v>
      </c>
      <c r="J3" s="3">
        <f t="shared" ref="J3:J66" si="2">D3+E3+F3+G3+H3+I3</f>
        <v>57700</v>
      </c>
    </row>
    <row r="4" spans="1:10" x14ac:dyDescent="0.25">
      <c r="A4">
        <v>3</v>
      </c>
      <c r="B4" s="3">
        <v>4000</v>
      </c>
      <c r="C4" s="3">
        <f t="shared" si="0"/>
        <v>1200</v>
      </c>
      <c r="D4" s="3">
        <f t="shared" si="1"/>
        <v>5200</v>
      </c>
      <c r="E4" s="3">
        <v>0</v>
      </c>
      <c r="F4" s="3">
        <v>1500</v>
      </c>
      <c r="G4" s="3">
        <v>2000</v>
      </c>
      <c r="H4" s="3">
        <f>100*Revenus!B4</f>
        <v>1400</v>
      </c>
      <c r="I4" s="3">
        <f>Hypothèses!$B$11*(Revenus!B5-Revenus!B4)</f>
        <v>0</v>
      </c>
      <c r="J4" s="3">
        <f t="shared" si="2"/>
        <v>10100</v>
      </c>
    </row>
    <row r="5" spans="1:10" x14ac:dyDescent="0.25">
      <c r="A5">
        <v>4</v>
      </c>
      <c r="B5" s="3">
        <v>4000</v>
      </c>
      <c r="C5" s="3">
        <f t="shared" si="0"/>
        <v>1200</v>
      </c>
      <c r="D5" s="3">
        <f t="shared" si="1"/>
        <v>5200</v>
      </c>
      <c r="E5" s="3">
        <v>0</v>
      </c>
      <c r="F5" s="3">
        <v>1500</v>
      </c>
      <c r="G5" s="3">
        <v>2000</v>
      </c>
      <c r="H5" s="3">
        <f>100*Revenus!B5</f>
        <v>1400</v>
      </c>
      <c r="I5" s="3">
        <f>Hypothèses!$B$11*(Revenus!B6-Revenus!B5)</f>
        <v>0</v>
      </c>
      <c r="J5" s="3">
        <f t="shared" si="2"/>
        <v>10100</v>
      </c>
    </row>
    <row r="6" spans="1:10" x14ac:dyDescent="0.25">
      <c r="A6">
        <v>5</v>
      </c>
      <c r="B6" s="3">
        <v>4000</v>
      </c>
      <c r="C6" s="3">
        <f t="shared" si="0"/>
        <v>1200</v>
      </c>
      <c r="D6" s="3">
        <f t="shared" si="1"/>
        <v>5200</v>
      </c>
      <c r="E6" s="3">
        <v>0</v>
      </c>
      <c r="F6" s="3">
        <v>1500</v>
      </c>
      <c r="G6" s="3">
        <v>2000</v>
      </c>
      <c r="H6" s="3">
        <f>100*Revenus!B6</f>
        <v>1400</v>
      </c>
      <c r="I6" s="3">
        <f>Hypothèses!$B$11*(Revenus!B7-Revenus!B6)</f>
        <v>49000</v>
      </c>
      <c r="J6" s="3">
        <f t="shared" si="2"/>
        <v>59100</v>
      </c>
    </row>
    <row r="7" spans="1:10" x14ac:dyDescent="0.25">
      <c r="A7">
        <v>6</v>
      </c>
      <c r="B7" s="3">
        <v>4000</v>
      </c>
      <c r="C7" s="3">
        <f t="shared" si="0"/>
        <v>1200</v>
      </c>
      <c r="D7" s="3">
        <f t="shared" si="1"/>
        <v>5200</v>
      </c>
      <c r="E7" s="3">
        <v>0</v>
      </c>
      <c r="F7" s="3">
        <v>1500</v>
      </c>
      <c r="G7" s="3">
        <v>2000</v>
      </c>
      <c r="H7" s="3">
        <f>100*Revenus!B7</f>
        <v>2800</v>
      </c>
      <c r="I7" s="3">
        <f>Hypothèses!$B$11*(Revenus!B8-Revenus!B7)</f>
        <v>0</v>
      </c>
      <c r="J7" s="3">
        <f t="shared" si="2"/>
        <v>11500</v>
      </c>
    </row>
    <row r="8" spans="1:10" x14ac:dyDescent="0.25">
      <c r="A8">
        <v>7</v>
      </c>
      <c r="B8" s="3">
        <v>4000</v>
      </c>
      <c r="C8" s="3">
        <f t="shared" si="0"/>
        <v>1200</v>
      </c>
      <c r="D8" s="3">
        <f t="shared" si="1"/>
        <v>5200</v>
      </c>
      <c r="E8" s="3">
        <v>0</v>
      </c>
      <c r="F8" s="3">
        <v>1500</v>
      </c>
      <c r="G8" s="3">
        <v>2000</v>
      </c>
      <c r="H8" s="3">
        <f>100*Revenus!B8</f>
        <v>2800</v>
      </c>
      <c r="I8" s="3">
        <f>Hypothèses!$B$11*(Revenus!B9-Revenus!B8)</f>
        <v>0</v>
      </c>
      <c r="J8" s="3">
        <f t="shared" si="2"/>
        <v>11500</v>
      </c>
    </row>
    <row r="9" spans="1:10" x14ac:dyDescent="0.25">
      <c r="A9">
        <v>8</v>
      </c>
      <c r="B9" s="3">
        <v>4000</v>
      </c>
      <c r="C9" s="3">
        <f t="shared" si="0"/>
        <v>1200</v>
      </c>
      <c r="D9" s="3">
        <f t="shared" si="1"/>
        <v>5200</v>
      </c>
      <c r="E9" s="3">
        <v>0</v>
      </c>
      <c r="F9" s="3">
        <v>1500</v>
      </c>
      <c r="G9" s="3">
        <v>2000</v>
      </c>
      <c r="H9" s="3">
        <f>100*Revenus!B9</f>
        <v>2800</v>
      </c>
      <c r="I9" s="3">
        <f>Hypothèses!$B$11*(Revenus!B10-Revenus!B9)</f>
        <v>49000</v>
      </c>
      <c r="J9" s="3">
        <f t="shared" si="2"/>
        <v>60500</v>
      </c>
    </row>
    <row r="10" spans="1:10" x14ac:dyDescent="0.25">
      <c r="A10">
        <v>9</v>
      </c>
      <c r="B10" s="3">
        <v>4000</v>
      </c>
      <c r="C10" s="3">
        <f t="shared" si="0"/>
        <v>1200</v>
      </c>
      <c r="D10" s="3">
        <f t="shared" si="1"/>
        <v>5200</v>
      </c>
      <c r="E10" s="3">
        <v>0</v>
      </c>
      <c r="F10" s="3">
        <v>1500</v>
      </c>
      <c r="G10" s="3">
        <v>2000</v>
      </c>
      <c r="H10" s="3">
        <f>100*Revenus!B10</f>
        <v>4200</v>
      </c>
      <c r="I10" s="3">
        <f>Hypothèses!$B$11*(Revenus!B11-Revenus!B10)</f>
        <v>0</v>
      </c>
      <c r="J10" s="3">
        <f t="shared" si="2"/>
        <v>12900</v>
      </c>
    </row>
    <row r="11" spans="1:10" x14ac:dyDescent="0.25">
      <c r="A11">
        <v>10</v>
      </c>
      <c r="B11" s="3">
        <v>4000</v>
      </c>
      <c r="C11" s="3">
        <f t="shared" si="0"/>
        <v>1200</v>
      </c>
      <c r="D11" s="3">
        <f t="shared" si="1"/>
        <v>5200</v>
      </c>
      <c r="E11" s="3">
        <v>0</v>
      </c>
      <c r="F11" s="3">
        <v>1500</v>
      </c>
      <c r="G11" s="3">
        <v>2000</v>
      </c>
      <c r="H11" s="3">
        <f>100*Revenus!B11</f>
        <v>4200</v>
      </c>
      <c r="I11" s="3">
        <f>Hypothèses!$B$11*(Revenus!B12-Revenus!B11)</f>
        <v>0</v>
      </c>
      <c r="J11" s="3">
        <f t="shared" si="2"/>
        <v>12900</v>
      </c>
    </row>
    <row r="12" spans="1:10" x14ac:dyDescent="0.25">
      <c r="A12">
        <v>11</v>
      </c>
      <c r="B12" s="3">
        <v>4000</v>
      </c>
      <c r="C12" s="3">
        <f t="shared" si="0"/>
        <v>1200</v>
      </c>
      <c r="D12" s="3">
        <f t="shared" si="1"/>
        <v>5200</v>
      </c>
      <c r="E12" s="3">
        <v>0</v>
      </c>
      <c r="F12" s="3">
        <v>1500</v>
      </c>
      <c r="G12" s="3">
        <v>2000</v>
      </c>
      <c r="H12" s="3">
        <f>100*Revenus!B12</f>
        <v>4200</v>
      </c>
      <c r="I12" s="3">
        <f>Hypothèses!$B$11*(Revenus!B13-Revenus!B12)</f>
        <v>49000</v>
      </c>
      <c r="J12" s="3">
        <f t="shared" si="2"/>
        <v>61900</v>
      </c>
    </row>
    <row r="13" spans="1:10" x14ac:dyDescent="0.25">
      <c r="A13">
        <v>12</v>
      </c>
      <c r="B13" s="3">
        <v>4000</v>
      </c>
      <c r="C13" s="3">
        <f t="shared" si="0"/>
        <v>1200</v>
      </c>
      <c r="D13" s="3">
        <f t="shared" si="1"/>
        <v>5200</v>
      </c>
      <c r="E13" s="3">
        <v>0</v>
      </c>
      <c r="F13" s="3">
        <v>1500</v>
      </c>
      <c r="G13" s="3">
        <v>2000</v>
      </c>
      <c r="H13" s="3">
        <f>100*Revenus!B13</f>
        <v>5600</v>
      </c>
      <c r="I13" s="3">
        <f>Hypothèses!$B$11*(Revenus!B14-Revenus!B13)</f>
        <v>0</v>
      </c>
      <c r="J13" s="3">
        <f t="shared" si="2"/>
        <v>14300</v>
      </c>
    </row>
    <row r="14" spans="1:10" x14ac:dyDescent="0.25">
      <c r="A14">
        <v>13</v>
      </c>
      <c r="B14" s="3">
        <v>8000</v>
      </c>
      <c r="C14" s="3">
        <f t="shared" si="0"/>
        <v>2400</v>
      </c>
      <c r="D14" s="3">
        <f t="shared" si="1"/>
        <v>10400</v>
      </c>
      <c r="E14" s="3">
        <v>0</v>
      </c>
      <c r="F14" s="3">
        <v>1500</v>
      </c>
      <c r="G14" s="3">
        <v>2000</v>
      </c>
      <c r="H14" s="3">
        <f>100*Revenus!B14</f>
        <v>5600</v>
      </c>
      <c r="I14" s="3">
        <f>Hypothèses!$B$11*(Revenus!B15-Revenus!B14)</f>
        <v>0</v>
      </c>
      <c r="J14" s="3">
        <f t="shared" si="2"/>
        <v>19500</v>
      </c>
    </row>
    <row r="15" spans="1:10" x14ac:dyDescent="0.25">
      <c r="A15">
        <v>14</v>
      </c>
      <c r="B15" s="3">
        <v>8000</v>
      </c>
      <c r="C15" s="3">
        <f t="shared" si="0"/>
        <v>2400</v>
      </c>
      <c r="D15" s="3">
        <f t="shared" si="1"/>
        <v>10400</v>
      </c>
      <c r="E15" s="3">
        <v>0</v>
      </c>
      <c r="F15" s="3">
        <v>1500</v>
      </c>
      <c r="G15" s="3">
        <v>2000</v>
      </c>
      <c r="H15" s="3">
        <f>100*Revenus!B15</f>
        <v>5600</v>
      </c>
      <c r="I15" s="3">
        <f>Hypothèses!$B$11*(Revenus!B16-Revenus!B15)</f>
        <v>0</v>
      </c>
      <c r="J15" s="3">
        <f t="shared" si="2"/>
        <v>19500</v>
      </c>
    </row>
    <row r="16" spans="1:10" x14ac:dyDescent="0.25">
      <c r="A16">
        <v>15</v>
      </c>
      <c r="B16" s="3">
        <v>8000</v>
      </c>
      <c r="C16" s="3">
        <f t="shared" si="0"/>
        <v>2400</v>
      </c>
      <c r="D16" s="3">
        <f t="shared" si="1"/>
        <v>10400</v>
      </c>
      <c r="E16" s="3">
        <v>0</v>
      </c>
      <c r="F16" s="3">
        <v>1500</v>
      </c>
      <c r="G16" s="3">
        <v>2000</v>
      </c>
      <c r="H16" s="3">
        <f>100*Revenus!B16</f>
        <v>5600</v>
      </c>
      <c r="I16" s="3">
        <f>Hypothèses!$B$11*(Revenus!B17-Revenus!B16)</f>
        <v>49000</v>
      </c>
      <c r="J16" s="3">
        <f t="shared" si="2"/>
        <v>68500</v>
      </c>
    </row>
    <row r="17" spans="1:10" x14ac:dyDescent="0.25">
      <c r="A17">
        <v>16</v>
      </c>
      <c r="B17" s="3">
        <v>8000</v>
      </c>
      <c r="C17" s="3">
        <f t="shared" si="0"/>
        <v>2400</v>
      </c>
      <c r="D17" s="3">
        <f t="shared" si="1"/>
        <v>10400</v>
      </c>
      <c r="E17" s="3">
        <v>0</v>
      </c>
      <c r="F17" s="3">
        <v>1500</v>
      </c>
      <c r="G17" s="3">
        <v>2000</v>
      </c>
      <c r="H17" s="3">
        <f>100*Revenus!B17</f>
        <v>7000</v>
      </c>
      <c r="I17" s="3">
        <f>Hypothèses!$B$11*(Revenus!B18-Revenus!B17)</f>
        <v>0</v>
      </c>
      <c r="J17" s="3">
        <f t="shared" si="2"/>
        <v>20900</v>
      </c>
    </row>
    <row r="18" spans="1:10" x14ac:dyDescent="0.25">
      <c r="A18">
        <v>17</v>
      </c>
      <c r="B18" s="3">
        <v>8000</v>
      </c>
      <c r="C18" s="3">
        <f t="shared" si="0"/>
        <v>2400</v>
      </c>
      <c r="D18" s="3">
        <f t="shared" si="1"/>
        <v>10400</v>
      </c>
      <c r="E18" s="3">
        <v>0</v>
      </c>
      <c r="F18" s="3">
        <v>1500</v>
      </c>
      <c r="G18" s="3">
        <v>2000</v>
      </c>
      <c r="H18" s="3">
        <f>100*Revenus!B18</f>
        <v>7000</v>
      </c>
      <c r="I18" s="3">
        <f>Hypothèses!$B$11*(Revenus!B19-Revenus!B18)</f>
        <v>0</v>
      </c>
      <c r="J18" s="3">
        <f t="shared" si="2"/>
        <v>20900</v>
      </c>
    </row>
    <row r="19" spans="1:10" x14ac:dyDescent="0.25">
      <c r="A19">
        <v>18</v>
      </c>
      <c r="B19" s="3">
        <v>8000</v>
      </c>
      <c r="C19" s="3">
        <f t="shared" si="0"/>
        <v>2400</v>
      </c>
      <c r="D19" s="3">
        <f t="shared" si="1"/>
        <v>10400</v>
      </c>
      <c r="E19" s="3">
        <v>0</v>
      </c>
      <c r="F19" s="3">
        <v>1500</v>
      </c>
      <c r="G19" s="3">
        <v>2000</v>
      </c>
      <c r="H19" s="3">
        <f>100*Revenus!B19</f>
        <v>7000</v>
      </c>
      <c r="I19" s="3">
        <f>Hypothèses!$B$11*(Revenus!B20-Revenus!B19)</f>
        <v>0</v>
      </c>
      <c r="J19" s="3">
        <f t="shared" si="2"/>
        <v>20900</v>
      </c>
    </row>
    <row r="20" spans="1:10" x14ac:dyDescent="0.25">
      <c r="A20">
        <v>19</v>
      </c>
      <c r="B20" s="3">
        <v>8000</v>
      </c>
      <c r="C20" s="3">
        <f t="shared" si="0"/>
        <v>2400</v>
      </c>
      <c r="D20" s="3">
        <f t="shared" si="1"/>
        <v>10400</v>
      </c>
      <c r="E20" s="3">
        <v>0</v>
      </c>
      <c r="F20" s="3">
        <v>1500</v>
      </c>
      <c r="G20" s="3">
        <v>2000</v>
      </c>
      <c r="H20" s="3">
        <f>100*Revenus!B20</f>
        <v>7000</v>
      </c>
      <c r="I20" s="3">
        <f>Hypothèses!$B$11*(Revenus!B21-Revenus!B20)</f>
        <v>49000</v>
      </c>
      <c r="J20" s="3">
        <f t="shared" si="2"/>
        <v>69900</v>
      </c>
    </row>
    <row r="21" spans="1:10" x14ac:dyDescent="0.25">
      <c r="A21">
        <v>20</v>
      </c>
      <c r="B21" s="3">
        <v>8000</v>
      </c>
      <c r="C21" s="3">
        <f t="shared" si="0"/>
        <v>2400</v>
      </c>
      <c r="D21" s="3">
        <f t="shared" si="1"/>
        <v>10400</v>
      </c>
      <c r="E21" s="3">
        <v>0</v>
      </c>
      <c r="F21" s="3">
        <v>1500</v>
      </c>
      <c r="G21" s="3">
        <v>2000</v>
      </c>
      <c r="H21" s="3">
        <f>100*Revenus!B21</f>
        <v>8400</v>
      </c>
      <c r="I21" s="3">
        <f>Hypothèses!$B$11*(Revenus!B22-Revenus!B21)</f>
        <v>0</v>
      </c>
      <c r="J21" s="3">
        <f t="shared" si="2"/>
        <v>22300</v>
      </c>
    </row>
    <row r="22" spans="1:10" x14ac:dyDescent="0.25">
      <c r="A22">
        <v>21</v>
      </c>
      <c r="B22" s="3">
        <v>8000</v>
      </c>
      <c r="C22" s="3">
        <f t="shared" si="0"/>
        <v>2400</v>
      </c>
      <c r="D22" s="3">
        <f t="shared" si="1"/>
        <v>10400</v>
      </c>
      <c r="E22" s="3">
        <v>0</v>
      </c>
      <c r="F22" s="3">
        <v>1500</v>
      </c>
      <c r="G22" s="3">
        <v>2000</v>
      </c>
      <c r="H22" s="3">
        <f>100*Revenus!B22</f>
        <v>8400</v>
      </c>
      <c r="I22" s="3">
        <f>Hypothèses!$B$11*(Revenus!B23-Revenus!B22)</f>
        <v>0</v>
      </c>
      <c r="J22" s="3">
        <f t="shared" si="2"/>
        <v>22300</v>
      </c>
    </row>
    <row r="23" spans="1:10" x14ac:dyDescent="0.25">
      <c r="A23">
        <v>22</v>
      </c>
      <c r="B23" s="3">
        <v>8000</v>
      </c>
      <c r="C23" s="3">
        <f t="shared" si="0"/>
        <v>2400</v>
      </c>
      <c r="D23" s="3">
        <f t="shared" si="1"/>
        <v>10400</v>
      </c>
      <c r="E23" s="3">
        <v>0</v>
      </c>
      <c r="F23" s="3">
        <v>1500</v>
      </c>
      <c r="G23" s="3">
        <v>2000</v>
      </c>
      <c r="H23" s="3">
        <f>100*Revenus!B23</f>
        <v>8400</v>
      </c>
      <c r="I23" s="3">
        <f>Hypothèses!$B$11*(Revenus!B24-Revenus!B23)</f>
        <v>0</v>
      </c>
      <c r="J23" s="3">
        <f t="shared" si="2"/>
        <v>22300</v>
      </c>
    </row>
    <row r="24" spans="1:10" x14ac:dyDescent="0.25">
      <c r="A24">
        <v>23</v>
      </c>
      <c r="B24" s="3">
        <v>8000</v>
      </c>
      <c r="C24" s="3">
        <f t="shared" si="0"/>
        <v>2400</v>
      </c>
      <c r="D24" s="3">
        <f t="shared" si="1"/>
        <v>10400</v>
      </c>
      <c r="E24" s="3">
        <v>0</v>
      </c>
      <c r="F24" s="3">
        <v>1500</v>
      </c>
      <c r="G24" s="3">
        <v>2000</v>
      </c>
      <c r="H24" s="3">
        <f>100*Revenus!B24</f>
        <v>8400</v>
      </c>
      <c r="I24" s="3">
        <f>Hypothèses!$B$11*(Revenus!B25-Revenus!B24)</f>
        <v>49000</v>
      </c>
      <c r="J24" s="3">
        <f t="shared" si="2"/>
        <v>71300</v>
      </c>
    </row>
    <row r="25" spans="1:10" x14ac:dyDescent="0.25">
      <c r="A25">
        <v>24</v>
      </c>
      <c r="B25" s="3">
        <v>8000</v>
      </c>
      <c r="C25" s="3">
        <f t="shared" si="0"/>
        <v>2400</v>
      </c>
      <c r="D25" s="3">
        <f t="shared" si="1"/>
        <v>10400</v>
      </c>
      <c r="E25" s="3">
        <v>100000</v>
      </c>
      <c r="F25" s="3">
        <v>1500</v>
      </c>
      <c r="G25" s="3">
        <v>2000</v>
      </c>
      <c r="H25" s="3">
        <f>100*Revenus!B25</f>
        <v>9800</v>
      </c>
      <c r="I25" s="3">
        <f>Hypothèses!$B$11*(Revenus!B26-Revenus!B25)</f>
        <v>0</v>
      </c>
      <c r="J25" s="3">
        <f t="shared" si="2"/>
        <v>123700</v>
      </c>
    </row>
    <row r="26" spans="1:10" x14ac:dyDescent="0.25">
      <c r="A26">
        <v>25</v>
      </c>
      <c r="B26" s="3">
        <v>8000</v>
      </c>
      <c r="C26" s="3">
        <f t="shared" si="0"/>
        <v>2400</v>
      </c>
      <c r="D26" s="3">
        <f t="shared" si="1"/>
        <v>10400</v>
      </c>
      <c r="E26" s="3">
        <v>0</v>
      </c>
      <c r="F26" s="3">
        <v>1500</v>
      </c>
      <c r="G26" s="3">
        <v>2000</v>
      </c>
      <c r="H26" s="3">
        <f>100*Revenus!B26</f>
        <v>9800</v>
      </c>
      <c r="I26" s="3">
        <f>Hypothèses!$B$11*(Revenus!B27-Revenus!B26)</f>
        <v>0</v>
      </c>
      <c r="J26" s="3">
        <f t="shared" si="2"/>
        <v>23700</v>
      </c>
    </row>
    <row r="27" spans="1:10" x14ac:dyDescent="0.25">
      <c r="A27">
        <v>26</v>
      </c>
      <c r="B27" s="3">
        <v>8000</v>
      </c>
      <c r="C27" s="3">
        <f t="shared" si="0"/>
        <v>2400</v>
      </c>
      <c r="D27" s="3">
        <f t="shared" si="1"/>
        <v>10400</v>
      </c>
      <c r="E27" s="3">
        <v>0</v>
      </c>
      <c r="F27" s="3">
        <v>1500</v>
      </c>
      <c r="G27" s="3">
        <v>2000</v>
      </c>
      <c r="H27" s="3">
        <f>100*Revenus!B27</f>
        <v>9800</v>
      </c>
      <c r="I27" s="3">
        <f>Hypothèses!$B$11*(Revenus!B28-Revenus!B27)</f>
        <v>0</v>
      </c>
      <c r="J27" s="3">
        <f t="shared" si="2"/>
        <v>23700</v>
      </c>
    </row>
    <row r="28" spans="1:10" x14ac:dyDescent="0.25">
      <c r="A28">
        <v>27</v>
      </c>
      <c r="B28" s="3">
        <v>8000</v>
      </c>
      <c r="C28" s="3">
        <f t="shared" si="0"/>
        <v>2400</v>
      </c>
      <c r="D28" s="3">
        <f t="shared" si="1"/>
        <v>10400</v>
      </c>
      <c r="E28" s="3">
        <v>0</v>
      </c>
      <c r="F28" s="3">
        <v>1500</v>
      </c>
      <c r="G28" s="3">
        <v>2000</v>
      </c>
      <c r="H28" s="3">
        <f>100*Revenus!B28</f>
        <v>9800</v>
      </c>
      <c r="I28" s="3">
        <f>Hypothèses!$B$11*(Revenus!B29-Revenus!B28)</f>
        <v>49000</v>
      </c>
      <c r="J28" s="3">
        <f t="shared" si="2"/>
        <v>72700</v>
      </c>
    </row>
    <row r="29" spans="1:10" x14ac:dyDescent="0.25">
      <c r="A29">
        <v>28</v>
      </c>
      <c r="B29" s="3">
        <v>8000</v>
      </c>
      <c r="C29" s="3">
        <f t="shared" si="0"/>
        <v>2400</v>
      </c>
      <c r="D29" s="3">
        <f t="shared" si="1"/>
        <v>10400</v>
      </c>
      <c r="E29" s="3">
        <v>0</v>
      </c>
      <c r="F29" s="3">
        <v>1500</v>
      </c>
      <c r="G29" s="3">
        <v>2000</v>
      </c>
      <c r="H29" s="3">
        <f>100*Revenus!B29</f>
        <v>11200</v>
      </c>
      <c r="I29" s="3">
        <f>Hypothèses!$B$11*(Revenus!B30-Revenus!B29)</f>
        <v>0</v>
      </c>
      <c r="J29" s="3">
        <f t="shared" si="2"/>
        <v>25100</v>
      </c>
    </row>
    <row r="30" spans="1:10" x14ac:dyDescent="0.25">
      <c r="A30">
        <v>29</v>
      </c>
      <c r="B30" s="3">
        <v>8000</v>
      </c>
      <c r="C30" s="3">
        <f t="shared" si="0"/>
        <v>2400</v>
      </c>
      <c r="D30" s="3">
        <f t="shared" si="1"/>
        <v>10400</v>
      </c>
      <c r="E30" s="3">
        <v>0</v>
      </c>
      <c r="F30" s="3">
        <v>1500</v>
      </c>
      <c r="G30" s="3">
        <v>2000</v>
      </c>
      <c r="H30" s="3">
        <f>100*Revenus!B30</f>
        <v>11200</v>
      </c>
      <c r="I30" s="3">
        <f>Hypothèses!$B$11*(Revenus!B31-Revenus!B30)</f>
        <v>0</v>
      </c>
      <c r="J30" s="3">
        <f t="shared" si="2"/>
        <v>25100</v>
      </c>
    </row>
    <row r="31" spans="1:10" x14ac:dyDescent="0.25">
      <c r="A31">
        <v>30</v>
      </c>
      <c r="B31" s="3">
        <v>8000</v>
      </c>
      <c r="C31" s="3">
        <f t="shared" si="0"/>
        <v>2400</v>
      </c>
      <c r="D31" s="3">
        <f t="shared" si="1"/>
        <v>10400</v>
      </c>
      <c r="E31" s="3">
        <v>0</v>
      </c>
      <c r="F31" s="3">
        <v>1500</v>
      </c>
      <c r="G31" s="3">
        <v>2000</v>
      </c>
      <c r="H31" s="3">
        <f>100*Revenus!B31</f>
        <v>11200</v>
      </c>
      <c r="I31" s="3">
        <f>Hypothèses!$B$11*(Revenus!B32-Revenus!B31)</f>
        <v>0</v>
      </c>
      <c r="J31" s="3">
        <f t="shared" si="2"/>
        <v>25100</v>
      </c>
    </row>
    <row r="32" spans="1:10" x14ac:dyDescent="0.25">
      <c r="A32">
        <v>31</v>
      </c>
      <c r="B32" s="3">
        <v>8000</v>
      </c>
      <c r="C32" s="3">
        <f t="shared" si="0"/>
        <v>2400</v>
      </c>
      <c r="D32" s="3">
        <f t="shared" si="1"/>
        <v>10400</v>
      </c>
      <c r="E32" s="3">
        <v>0</v>
      </c>
      <c r="F32" s="3">
        <v>1500</v>
      </c>
      <c r="G32" s="3">
        <v>2000</v>
      </c>
      <c r="H32" s="3">
        <f>100*Revenus!B32</f>
        <v>11200</v>
      </c>
      <c r="I32" s="3">
        <f>Hypothèses!$B$11*(Revenus!B33-Revenus!B32)</f>
        <v>49000</v>
      </c>
      <c r="J32" s="3">
        <f t="shared" si="2"/>
        <v>74100</v>
      </c>
    </row>
    <row r="33" spans="1:10" x14ac:dyDescent="0.25">
      <c r="A33">
        <v>32</v>
      </c>
      <c r="B33" s="3">
        <v>8000</v>
      </c>
      <c r="C33" s="3">
        <f t="shared" si="0"/>
        <v>2400</v>
      </c>
      <c r="D33" s="3">
        <f t="shared" si="1"/>
        <v>10400</v>
      </c>
      <c r="E33" s="3">
        <v>0</v>
      </c>
      <c r="F33" s="3">
        <v>1500</v>
      </c>
      <c r="G33" s="3">
        <v>2000</v>
      </c>
      <c r="H33" s="3">
        <f>100*Revenus!B33</f>
        <v>12600</v>
      </c>
      <c r="I33" s="3">
        <f>Hypothèses!$B$11*(Revenus!B34-Revenus!B33)</f>
        <v>0</v>
      </c>
      <c r="J33" s="3">
        <f t="shared" si="2"/>
        <v>26500</v>
      </c>
    </row>
    <row r="34" spans="1:10" x14ac:dyDescent="0.25">
      <c r="A34">
        <v>33</v>
      </c>
      <c r="B34" s="3">
        <v>8000</v>
      </c>
      <c r="C34" s="3">
        <f t="shared" si="0"/>
        <v>2400</v>
      </c>
      <c r="D34" s="3">
        <f t="shared" si="1"/>
        <v>10400</v>
      </c>
      <c r="E34" s="3">
        <v>0</v>
      </c>
      <c r="F34" s="3">
        <v>1500</v>
      </c>
      <c r="G34" s="3">
        <v>2000</v>
      </c>
      <c r="H34" s="3">
        <f>100*Revenus!B34</f>
        <v>12600</v>
      </c>
      <c r="I34" s="3">
        <f>Hypothèses!$B$11*(Revenus!B35-Revenus!B34)</f>
        <v>0</v>
      </c>
      <c r="J34" s="3">
        <f t="shared" si="2"/>
        <v>26500</v>
      </c>
    </row>
    <row r="35" spans="1:10" x14ac:dyDescent="0.25">
      <c r="A35">
        <v>34</v>
      </c>
      <c r="B35" s="3">
        <v>8000</v>
      </c>
      <c r="C35" s="3">
        <f t="shared" si="0"/>
        <v>2400</v>
      </c>
      <c r="D35" s="3">
        <f t="shared" si="1"/>
        <v>10400</v>
      </c>
      <c r="E35" s="3">
        <v>0</v>
      </c>
      <c r="F35" s="3">
        <v>1500</v>
      </c>
      <c r="G35" s="3">
        <v>2000</v>
      </c>
      <c r="H35" s="3">
        <f>100*Revenus!B35</f>
        <v>12600</v>
      </c>
      <c r="I35" s="3">
        <f>Hypothèses!$B$11*(Revenus!B36-Revenus!B35)</f>
        <v>0</v>
      </c>
      <c r="J35" s="3">
        <f t="shared" si="2"/>
        <v>26500</v>
      </c>
    </row>
    <row r="36" spans="1:10" x14ac:dyDescent="0.25">
      <c r="A36">
        <v>35</v>
      </c>
      <c r="B36" s="3">
        <v>8000</v>
      </c>
      <c r="C36" s="3">
        <f t="shared" si="0"/>
        <v>2400</v>
      </c>
      <c r="D36" s="3">
        <f t="shared" si="1"/>
        <v>10400</v>
      </c>
      <c r="E36" s="3">
        <v>0</v>
      </c>
      <c r="F36" s="3">
        <v>1500</v>
      </c>
      <c r="G36" s="3">
        <v>2000</v>
      </c>
      <c r="H36" s="3">
        <f>100*Revenus!B36</f>
        <v>12600</v>
      </c>
      <c r="I36" s="3">
        <f>Hypothèses!$B$11*(Revenus!B37-Revenus!B36)</f>
        <v>49000</v>
      </c>
      <c r="J36" s="3">
        <f t="shared" si="2"/>
        <v>75500</v>
      </c>
    </row>
    <row r="37" spans="1:10" x14ac:dyDescent="0.25">
      <c r="A37">
        <v>36</v>
      </c>
      <c r="B37" s="3">
        <v>8000</v>
      </c>
      <c r="C37" s="3">
        <f t="shared" si="0"/>
        <v>2400</v>
      </c>
      <c r="D37" s="3">
        <f t="shared" si="1"/>
        <v>10400</v>
      </c>
      <c r="E37" s="3">
        <v>100000</v>
      </c>
      <c r="F37" s="3">
        <v>1500</v>
      </c>
      <c r="G37" s="3">
        <v>2000</v>
      </c>
      <c r="H37" s="3">
        <f>100*Revenus!B37</f>
        <v>14000</v>
      </c>
      <c r="I37" s="3">
        <f>Hypothèses!$B$11*(Revenus!B38-Revenus!B37)</f>
        <v>0</v>
      </c>
      <c r="J37" s="3">
        <f t="shared" si="2"/>
        <v>127900</v>
      </c>
    </row>
    <row r="38" spans="1:10" x14ac:dyDescent="0.25">
      <c r="A38">
        <v>37</v>
      </c>
      <c r="B38" s="3">
        <v>8000</v>
      </c>
      <c r="C38" s="3">
        <f t="shared" si="0"/>
        <v>2400</v>
      </c>
      <c r="D38" s="3">
        <f t="shared" si="1"/>
        <v>10400</v>
      </c>
      <c r="E38" s="3">
        <v>0</v>
      </c>
      <c r="F38" s="3">
        <v>1500</v>
      </c>
      <c r="G38" s="3">
        <v>2000</v>
      </c>
      <c r="H38" s="3">
        <f>100*Revenus!B38</f>
        <v>14000</v>
      </c>
      <c r="I38" s="3">
        <f>Hypothèses!$B$11*(Revenus!B39-Revenus!B38)</f>
        <v>0</v>
      </c>
      <c r="J38" s="3">
        <f t="shared" si="2"/>
        <v>27900</v>
      </c>
    </row>
    <row r="39" spans="1:10" x14ac:dyDescent="0.25">
      <c r="A39">
        <v>38</v>
      </c>
      <c r="B39" s="3">
        <v>8000</v>
      </c>
      <c r="C39" s="3">
        <f t="shared" si="0"/>
        <v>2400</v>
      </c>
      <c r="D39" s="3">
        <f t="shared" si="1"/>
        <v>10400</v>
      </c>
      <c r="E39" s="3">
        <v>0</v>
      </c>
      <c r="F39" s="3">
        <v>1500</v>
      </c>
      <c r="G39" s="3">
        <v>2000</v>
      </c>
      <c r="H39" s="3">
        <f>100*Revenus!B39</f>
        <v>14000</v>
      </c>
      <c r="I39" s="3">
        <f>Hypothèses!$B$11*(Revenus!B40-Revenus!B39)</f>
        <v>0</v>
      </c>
      <c r="J39" s="3">
        <f t="shared" si="2"/>
        <v>27900</v>
      </c>
    </row>
    <row r="40" spans="1:10" x14ac:dyDescent="0.25">
      <c r="A40">
        <v>39</v>
      </c>
      <c r="B40" s="3">
        <v>8000</v>
      </c>
      <c r="C40" s="3">
        <f t="shared" si="0"/>
        <v>2400</v>
      </c>
      <c r="D40" s="3">
        <f t="shared" si="1"/>
        <v>10400</v>
      </c>
      <c r="E40" s="3">
        <v>0</v>
      </c>
      <c r="F40" s="3">
        <v>1500</v>
      </c>
      <c r="G40" s="3">
        <v>2000</v>
      </c>
      <c r="H40" s="3">
        <f>100*Revenus!B40</f>
        <v>14000</v>
      </c>
      <c r="I40" s="3">
        <f>Hypothèses!$B$11*(Revenus!B41-Revenus!B40)</f>
        <v>49000</v>
      </c>
      <c r="J40" s="3">
        <f t="shared" si="2"/>
        <v>76900</v>
      </c>
    </row>
    <row r="41" spans="1:10" x14ac:dyDescent="0.25">
      <c r="A41">
        <v>40</v>
      </c>
      <c r="B41" s="3">
        <v>8000</v>
      </c>
      <c r="C41" s="3">
        <f t="shared" si="0"/>
        <v>2400</v>
      </c>
      <c r="D41" s="3">
        <f t="shared" si="1"/>
        <v>10400</v>
      </c>
      <c r="E41" s="3">
        <v>0</v>
      </c>
      <c r="F41" s="3">
        <v>1500</v>
      </c>
      <c r="G41" s="3">
        <v>2000</v>
      </c>
      <c r="H41" s="3">
        <f>100*Revenus!B41</f>
        <v>15400</v>
      </c>
      <c r="I41" s="3">
        <f>Hypothèses!$B$11*(Revenus!B42-Revenus!B41)</f>
        <v>0</v>
      </c>
      <c r="J41" s="3">
        <f t="shared" si="2"/>
        <v>29300</v>
      </c>
    </row>
    <row r="42" spans="1:10" x14ac:dyDescent="0.25">
      <c r="A42">
        <v>41</v>
      </c>
      <c r="B42" s="3">
        <v>8000</v>
      </c>
      <c r="C42" s="3">
        <f t="shared" si="0"/>
        <v>2400</v>
      </c>
      <c r="D42" s="3">
        <f t="shared" si="1"/>
        <v>10400</v>
      </c>
      <c r="E42" s="3">
        <v>0</v>
      </c>
      <c r="F42" s="3">
        <v>1500</v>
      </c>
      <c r="G42" s="3">
        <v>2000</v>
      </c>
      <c r="H42" s="3">
        <f>100*Revenus!B42</f>
        <v>15400</v>
      </c>
      <c r="I42" s="3">
        <f>Hypothèses!$B$11*(Revenus!B43-Revenus!B42)</f>
        <v>0</v>
      </c>
      <c r="J42" s="3">
        <f t="shared" si="2"/>
        <v>29300</v>
      </c>
    </row>
    <row r="43" spans="1:10" x14ac:dyDescent="0.25">
      <c r="A43">
        <v>42</v>
      </c>
      <c r="B43" s="3">
        <v>8000</v>
      </c>
      <c r="C43" s="3">
        <f t="shared" si="0"/>
        <v>2400</v>
      </c>
      <c r="D43" s="3">
        <f t="shared" si="1"/>
        <v>10400</v>
      </c>
      <c r="E43" s="3">
        <v>0</v>
      </c>
      <c r="F43" s="3">
        <v>1500</v>
      </c>
      <c r="G43" s="3">
        <v>2000</v>
      </c>
      <c r="H43" s="3">
        <f>100*Revenus!B43</f>
        <v>15400</v>
      </c>
      <c r="I43" s="3">
        <f>Hypothèses!$B$11*(Revenus!B44-Revenus!B43)</f>
        <v>0</v>
      </c>
      <c r="J43" s="3">
        <f t="shared" si="2"/>
        <v>29300</v>
      </c>
    </row>
    <row r="44" spans="1:10" x14ac:dyDescent="0.25">
      <c r="A44">
        <v>43</v>
      </c>
      <c r="B44" s="3">
        <v>8000</v>
      </c>
      <c r="C44" s="3">
        <f t="shared" si="0"/>
        <v>2400</v>
      </c>
      <c r="D44" s="3">
        <f t="shared" si="1"/>
        <v>10400</v>
      </c>
      <c r="E44" s="3">
        <v>0</v>
      </c>
      <c r="F44" s="3">
        <v>1500</v>
      </c>
      <c r="G44" s="3">
        <v>2000</v>
      </c>
      <c r="H44" s="3">
        <f>100*Revenus!B44</f>
        <v>15400</v>
      </c>
      <c r="I44" s="3">
        <f>Hypothèses!$B$11*(Revenus!B45-Revenus!B44)</f>
        <v>49000</v>
      </c>
      <c r="J44" s="3">
        <f t="shared" si="2"/>
        <v>78300</v>
      </c>
    </row>
    <row r="45" spans="1:10" x14ac:dyDescent="0.25">
      <c r="A45">
        <v>44</v>
      </c>
      <c r="B45" s="3">
        <v>8000</v>
      </c>
      <c r="C45" s="3">
        <f t="shared" si="0"/>
        <v>2400</v>
      </c>
      <c r="D45" s="3">
        <f t="shared" si="1"/>
        <v>10400</v>
      </c>
      <c r="E45" s="3">
        <v>0</v>
      </c>
      <c r="F45" s="3">
        <v>1500</v>
      </c>
      <c r="G45" s="3">
        <v>2000</v>
      </c>
      <c r="H45" s="3">
        <f>100*Revenus!B45</f>
        <v>16800</v>
      </c>
      <c r="I45" s="3">
        <f>Hypothèses!$B$11*(Revenus!B46-Revenus!B45)</f>
        <v>0</v>
      </c>
      <c r="J45" s="3">
        <f t="shared" si="2"/>
        <v>30700</v>
      </c>
    </row>
    <row r="46" spans="1:10" x14ac:dyDescent="0.25">
      <c r="A46">
        <v>45</v>
      </c>
      <c r="B46" s="3">
        <v>8000</v>
      </c>
      <c r="C46" s="3">
        <f t="shared" si="0"/>
        <v>2400</v>
      </c>
      <c r="D46" s="3">
        <f t="shared" si="1"/>
        <v>10400</v>
      </c>
      <c r="E46" s="3">
        <v>0</v>
      </c>
      <c r="F46" s="3">
        <v>1500</v>
      </c>
      <c r="G46" s="3">
        <v>2000</v>
      </c>
      <c r="H46" s="3">
        <f>100*Revenus!B46</f>
        <v>16800</v>
      </c>
      <c r="I46" s="3">
        <f>Hypothèses!$B$11*(Revenus!B47-Revenus!B46)</f>
        <v>0</v>
      </c>
      <c r="J46" s="3">
        <f t="shared" si="2"/>
        <v>30700</v>
      </c>
    </row>
    <row r="47" spans="1:10" x14ac:dyDescent="0.25">
      <c r="A47">
        <v>46</v>
      </c>
      <c r="B47" s="3">
        <v>8000</v>
      </c>
      <c r="C47" s="3">
        <f t="shared" si="0"/>
        <v>2400</v>
      </c>
      <c r="D47" s="3">
        <f t="shared" si="1"/>
        <v>10400</v>
      </c>
      <c r="E47" s="3">
        <v>0</v>
      </c>
      <c r="F47" s="3">
        <v>1500</v>
      </c>
      <c r="G47" s="3">
        <v>2000</v>
      </c>
      <c r="H47" s="3">
        <f>100*Revenus!B47</f>
        <v>16800</v>
      </c>
      <c r="I47" s="3">
        <f>Hypothèses!$B$11*(Revenus!B48-Revenus!B47)</f>
        <v>0</v>
      </c>
      <c r="J47" s="3">
        <f t="shared" si="2"/>
        <v>30700</v>
      </c>
    </row>
    <row r="48" spans="1:10" x14ac:dyDescent="0.25">
      <c r="A48">
        <v>47</v>
      </c>
      <c r="B48" s="3">
        <v>8000</v>
      </c>
      <c r="C48" s="3">
        <f t="shared" si="0"/>
        <v>2400</v>
      </c>
      <c r="D48" s="3">
        <f t="shared" si="1"/>
        <v>10400</v>
      </c>
      <c r="E48" s="3">
        <v>0</v>
      </c>
      <c r="F48" s="3">
        <v>1500</v>
      </c>
      <c r="G48" s="3">
        <v>2000</v>
      </c>
      <c r="H48" s="3">
        <f>100*Revenus!B48</f>
        <v>16800</v>
      </c>
      <c r="I48" s="3">
        <f>Hypothèses!$B$11*(Revenus!B49-Revenus!B48)</f>
        <v>49000</v>
      </c>
      <c r="J48" s="3">
        <f t="shared" si="2"/>
        <v>79700</v>
      </c>
    </row>
    <row r="49" spans="1:10" x14ac:dyDescent="0.25">
      <c r="A49">
        <v>48</v>
      </c>
      <c r="B49" s="3">
        <v>8000</v>
      </c>
      <c r="C49" s="3">
        <f t="shared" si="0"/>
        <v>2400</v>
      </c>
      <c r="D49" s="3">
        <f t="shared" si="1"/>
        <v>10400</v>
      </c>
      <c r="E49" s="3">
        <v>100000</v>
      </c>
      <c r="F49" s="3">
        <v>1500</v>
      </c>
      <c r="G49" s="3">
        <v>2000</v>
      </c>
      <c r="H49" s="3">
        <f>100*Revenus!B49</f>
        <v>18200</v>
      </c>
      <c r="I49" s="3">
        <f>Hypothèses!$B$11*(Revenus!B50-Revenus!B49)</f>
        <v>0</v>
      </c>
      <c r="J49" s="3">
        <f t="shared" si="2"/>
        <v>132100</v>
      </c>
    </row>
    <row r="50" spans="1:10" x14ac:dyDescent="0.25">
      <c r="A50">
        <v>49</v>
      </c>
      <c r="B50" s="3">
        <v>8000</v>
      </c>
      <c r="C50" s="3">
        <f t="shared" si="0"/>
        <v>2400</v>
      </c>
      <c r="D50" s="3">
        <f t="shared" si="1"/>
        <v>10400</v>
      </c>
      <c r="E50" s="3">
        <v>0</v>
      </c>
      <c r="F50" s="3">
        <v>1500</v>
      </c>
      <c r="G50" s="3">
        <v>2000</v>
      </c>
      <c r="H50" s="3">
        <f>100*Revenus!B50</f>
        <v>18200</v>
      </c>
      <c r="I50" s="3">
        <f>Hypothèses!$B$11*(Revenus!B51-Revenus!B50)</f>
        <v>0</v>
      </c>
      <c r="J50" s="3">
        <f t="shared" si="2"/>
        <v>32100</v>
      </c>
    </row>
    <row r="51" spans="1:10" x14ac:dyDescent="0.25">
      <c r="A51">
        <v>50</v>
      </c>
      <c r="B51" s="3">
        <v>8000</v>
      </c>
      <c r="C51" s="3">
        <f t="shared" si="0"/>
        <v>2400</v>
      </c>
      <c r="D51" s="3">
        <f t="shared" si="1"/>
        <v>10400</v>
      </c>
      <c r="E51" s="3">
        <v>0</v>
      </c>
      <c r="F51" s="3">
        <v>1500</v>
      </c>
      <c r="G51" s="3">
        <v>2000</v>
      </c>
      <c r="H51" s="3">
        <f>100*Revenus!B51</f>
        <v>18200</v>
      </c>
      <c r="I51" s="3">
        <f>Hypothèses!$B$11*(Revenus!B52-Revenus!B51)</f>
        <v>0</v>
      </c>
      <c r="J51" s="3">
        <f t="shared" si="2"/>
        <v>32100</v>
      </c>
    </row>
    <row r="52" spans="1:10" x14ac:dyDescent="0.25">
      <c r="A52">
        <v>51</v>
      </c>
      <c r="B52" s="3">
        <v>8000</v>
      </c>
      <c r="C52" s="3">
        <f t="shared" si="0"/>
        <v>2400</v>
      </c>
      <c r="D52" s="3">
        <f t="shared" si="1"/>
        <v>10400</v>
      </c>
      <c r="E52" s="3">
        <v>0</v>
      </c>
      <c r="F52" s="3">
        <v>1500</v>
      </c>
      <c r="G52" s="3">
        <v>2000</v>
      </c>
      <c r="H52" s="3">
        <f>100*Revenus!B52</f>
        <v>18200</v>
      </c>
      <c r="I52" s="3">
        <f>Hypothèses!$B$11*(Revenus!B53-Revenus!B52)</f>
        <v>49000</v>
      </c>
      <c r="J52" s="3">
        <f t="shared" si="2"/>
        <v>81100</v>
      </c>
    </row>
    <row r="53" spans="1:10" x14ac:dyDescent="0.25">
      <c r="A53">
        <v>52</v>
      </c>
      <c r="B53" s="3">
        <v>8000</v>
      </c>
      <c r="C53" s="3">
        <f t="shared" si="0"/>
        <v>2400</v>
      </c>
      <c r="D53" s="3">
        <f t="shared" si="1"/>
        <v>10400</v>
      </c>
      <c r="E53" s="3">
        <v>0</v>
      </c>
      <c r="F53" s="3">
        <v>1500</v>
      </c>
      <c r="G53" s="3">
        <v>2000</v>
      </c>
      <c r="H53" s="3">
        <f>100*Revenus!B53</f>
        <v>19600</v>
      </c>
      <c r="I53" s="3">
        <f>Hypothèses!$B$11*(Revenus!B54-Revenus!B53)</f>
        <v>0</v>
      </c>
      <c r="J53" s="3">
        <f t="shared" si="2"/>
        <v>33500</v>
      </c>
    </row>
    <row r="54" spans="1:10" x14ac:dyDescent="0.25">
      <c r="A54">
        <v>53</v>
      </c>
      <c r="B54" s="3">
        <v>8000</v>
      </c>
      <c r="C54" s="3">
        <f t="shared" si="0"/>
        <v>2400</v>
      </c>
      <c r="D54" s="3">
        <f t="shared" si="1"/>
        <v>10400</v>
      </c>
      <c r="E54" s="3">
        <v>0</v>
      </c>
      <c r="F54" s="3">
        <v>1500</v>
      </c>
      <c r="G54" s="3">
        <v>2000</v>
      </c>
      <c r="H54" s="3">
        <f>100*Revenus!B54</f>
        <v>19600</v>
      </c>
      <c r="I54" s="3">
        <f>Hypothèses!$B$11*(Revenus!B55-Revenus!B54)</f>
        <v>0</v>
      </c>
      <c r="J54" s="3">
        <f t="shared" si="2"/>
        <v>33500</v>
      </c>
    </row>
    <row r="55" spans="1:10" x14ac:dyDescent="0.25">
      <c r="A55">
        <v>54</v>
      </c>
      <c r="B55" s="3">
        <v>8000</v>
      </c>
      <c r="C55" s="3">
        <f t="shared" si="0"/>
        <v>2400</v>
      </c>
      <c r="D55" s="3">
        <f t="shared" si="1"/>
        <v>10400</v>
      </c>
      <c r="E55" s="3">
        <v>0</v>
      </c>
      <c r="F55" s="3">
        <v>1500</v>
      </c>
      <c r="G55" s="3">
        <v>2000</v>
      </c>
      <c r="H55" s="3">
        <f>100*Revenus!B55</f>
        <v>19600</v>
      </c>
      <c r="I55" s="3">
        <f>Hypothèses!$B$11*(Revenus!B56-Revenus!B55)</f>
        <v>0</v>
      </c>
      <c r="J55" s="3">
        <f t="shared" si="2"/>
        <v>33500</v>
      </c>
    </row>
    <row r="56" spans="1:10" x14ac:dyDescent="0.25">
      <c r="A56">
        <v>55</v>
      </c>
      <c r="B56" s="3">
        <v>8000</v>
      </c>
      <c r="C56" s="3">
        <f t="shared" si="0"/>
        <v>2400</v>
      </c>
      <c r="D56" s="3">
        <f t="shared" si="1"/>
        <v>10400</v>
      </c>
      <c r="E56" s="3">
        <v>0</v>
      </c>
      <c r="F56" s="3">
        <v>1500</v>
      </c>
      <c r="G56" s="3">
        <v>2000</v>
      </c>
      <c r="H56" s="3">
        <f>100*Revenus!B56</f>
        <v>19600</v>
      </c>
      <c r="I56" s="3">
        <f>Hypothèses!$B$11*(Revenus!B57-Revenus!B56)</f>
        <v>0</v>
      </c>
      <c r="J56" s="3">
        <f t="shared" si="2"/>
        <v>33500</v>
      </c>
    </row>
    <row r="57" spans="1:10" x14ac:dyDescent="0.25">
      <c r="A57">
        <v>56</v>
      </c>
      <c r="B57" s="3">
        <v>8000</v>
      </c>
      <c r="C57" s="3">
        <f t="shared" si="0"/>
        <v>2400</v>
      </c>
      <c r="D57" s="3">
        <f t="shared" si="1"/>
        <v>10400</v>
      </c>
      <c r="E57" s="3">
        <v>0</v>
      </c>
      <c r="F57" s="3">
        <v>1500</v>
      </c>
      <c r="G57" s="3">
        <v>2000</v>
      </c>
      <c r="H57" s="3">
        <f>100*Revenus!B57</f>
        <v>19600</v>
      </c>
      <c r="I57" s="3">
        <f>Hypothèses!$B$11*(Revenus!B58-Revenus!B57)</f>
        <v>0</v>
      </c>
      <c r="J57" s="3">
        <f t="shared" si="2"/>
        <v>33500</v>
      </c>
    </row>
    <row r="58" spans="1:10" x14ac:dyDescent="0.25">
      <c r="A58">
        <v>57</v>
      </c>
      <c r="B58" s="3">
        <v>8000</v>
      </c>
      <c r="C58" s="3">
        <f t="shared" si="0"/>
        <v>2400</v>
      </c>
      <c r="D58" s="3">
        <f t="shared" si="1"/>
        <v>10400</v>
      </c>
      <c r="E58" s="3">
        <v>0</v>
      </c>
      <c r="F58" s="3">
        <v>1500</v>
      </c>
      <c r="G58" s="3">
        <v>2000</v>
      </c>
      <c r="H58" s="3">
        <f>100*Revenus!B58</f>
        <v>19600</v>
      </c>
      <c r="I58" s="3">
        <f>Hypothèses!$B$11*(Revenus!B59-Revenus!B58)</f>
        <v>0</v>
      </c>
      <c r="J58" s="3">
        <f t="shared" si="2"/>
        <v>33500</v>
      </c>
    </row>
    <row r="59" spans="1:10" x14ac:dyDescent="0.25">
      <c r="A59">
        <v>58</v>
      </c>
      <c r="B59" s="3">
        <v>8000</v>
      </c>
      <c r="C59" s="3">
        <f t="shared" si="0"/>
        <v>2400</v>
      </c>
      <c r="D59" s="3">
        <f t="shared" si="1"/>
        <v>10400</v>
      </c>
      <c r="E59" s="3">
        <v>0</v>
      </c>
      <c r="F59" s="3">
        <v>1500</v>
      </c>
      <c r="G59" s="3">
        <v>2000</v>
      </c>
      <c r="H59" s="3">
        <f>100*Revenus!B59</f>
        <v>19600</v>
      </c>
      <c r="I59" s="3">
        <f>Hypothèses!$B$11*(Revenus!B60-Revenus!B59)</f>
        <v>0</v>
      </c>
      <c r="J59" s="3">
        <f t="shared" si="2"/>
        <v>33500</v>
      </c>
    </row>
    <row r="60" spans="1:10" x14ac:dyDescent="0.25">
      <c r="A60">
        <v>59</v>
      </c>
      <c r="B60" s="3">
        <v>8000</v>
      </c>
      <c r="C60" s="3">
        <f t="shared" si="0"/>
        <v>2400</v>
      </c>
      <c r="D60" s="3">
        <f t="shared" si="1"/>
        <v>10400</v>
      </c>
      <c r="E60" s="3">
        <v>0</v>
      </c>
      <c r="F60" s="3">
        <v>1500</v>
      </c>
      <c r="G60" s="3">
        <v>2000</v>
      </c>
      <c r="H60" s="3">
        <f>100*Revenus!B60</f>
        <v>19600</v>
      </c>
      <c r="I60" s="3">
        <f>Hypothèses!$B$11*(Revenus!B61-Revenus!B60)</f>
        <v>0</v>
      </c>
      <c r="J60" s="3">
        <f t="shared" si="2"/>
        <v>33500</v>
      </c>
    </row>
    <row r="61" spans="1:10" x14ac:dyDescent="0.25">
      <c r="A61">
        <v>60</v>
      </c>
      <c r="B61" s="3">
        <v>8000</v>
      </c>
      <c r="C61" s="3">
        <f t="shared" si="0"/>
        <v>2400</v>
      </c>
      <c r="D61" s="3">
        <f t="shared" si="1"/>
        <v>10400</v>
      </c>
      <c r="E61" s="3">
        <v>100000</v>
      </c>
      <c r="F61" s="3">
        <v>1500</v>
      </c>
      <c r="G61" s="3">
        <v>2000</v>
      </c>
      <c r="H61" s="3">
        <f>100*Revenus!B61</f>
        <v>19600</v>
      </c>
      <c r="I61" s="3">
        <f>Hypothèses!$B$11*(Revenus!B62-Revenus!B61)</f>
        <v>0</v>
      </c>
      <c r="J61" s="3">
        <f t="shared" si="2"/>
        <v>133500</v>
      </c>
    </row>
    <row r="62" spans="1:10" x14ac:dyDescent="0.25">
      <c r="A62">
        <v>61</v>
      </c>
      <c r="B62" s="3">
        <v>8000</v>
      </c>
      <c r="C62" s="3">
        <f t="shared" si="0"/>
        <v>2400</v>
      </c>
      <c r="D62" s="3">
        <f t="shared" si="1"/>
        <v>10400</v>
      </c>
      <c r="E62" s="3">
        <v>0</v>
      </c>
      <c r="F62" s="3">
        <v>1500</v>
      </c>
      <c r="G62" s="3">
        <v>2000</v>
      </c>
      <c r="H62" s="3">
        <f>100*Revenus!B62</f>
        <v>19600</v>
      </c>
      <c r="I62" s="3">
        <f>Hypothèses!$B$11*(Revenus!B63-Revenus!B62)</f>
        <v>0</v>
      </c>
      <c r="J62" s="3">
        <f t="shared" si="2"/>
        <v>33500</v>
      </c>
    </row>
    <row r="63" spans="1:10" x14ac:dyDescent="0.25">
      <c r="A63">
        <v>62</v>
      </c>
      <c r="B63" s="3">
        <v>8000</v>
      </c>
      <c r="C63" s="3">
        <f t="shared" si="0"/>
        <v>2400</v>
      </c>
      <c r="D63" s="3">
        <f t="shared" si="1"/>
        <v>10400</v>
      </c>
      <c r="E63" s="3">
        <v>0</v>
      </c>
      <c r="F63" s="3">
        <v>1500</v>
      </c>
      <c r="G63" s="3">
        <v>2000</v>
      </c>
      <c r="H63" s="3">
        <f>100*Revenus!B63</f>
        <v>19600</v>
      </c>
      <c r="I63" s="3">
        <f>Hypothèses!$B$11*(Revenus!B64-Revenus!B63)</f>
        <v>0</v>
      </c>
      <c r="J63" s="3">
        <f t="shared" si="2"/>
        <v>33500</v>
      </c>
    </row>
    <row r="64" spans="1:10" x14ac:dyDescent="0.25">
      <c r="A64">
        <v>63</v>
      </c>
      <c r="B64" s="3">
        <v>8000</v>
      </c>
      <c r="C64" s="3">
        <f t="shared" si="0"/>
        <v>2400</v>
      </c>
      <c r="D64" s="3">
        <f t="shared" si="1"/>
        <v>10400</v>
      </c>
      <c r="E64" s="3">
        <v>0</v>
      </c>
      <c r="F64" s="3">
        <v>1500</v>
      </c>
      <c r="G64" s="3">
        <v>2000</v>
      </c>
      <c r="H64" s="3">
        <f>100*Revenus!B64</f>
        <v>19600</v>
      </c>
      <c r="I64" s="3">
        <f>Hypothèses!$B$11*(Revenus!B65-Revenus!B64)</f>
        <v>0</v>
      </c>
      <c r="J64" s="3">
        <f t="shared" si="2"/>
        <v>33500</v>
      </c>
    </row>
    <row r="65" spans="1:10" x14ac:dyDescent="0.25">
      <c r="A65">
        <v>64</v>
      </c>
      <c r="B65" s="3">
        <v>8000</v>
      </c>
      <c r="C65" s="3">
        <f t="shared" si="0"/>
        <v>2400</v>
      </c>
      <c r="D65" s="3">
        <f t="shared" si="1"/>
        <v>10400</v>
      </c>
      <c r="E65" s="3">
        <v>0</v>
      </c>
      <c r="F65" s="3">
        <v>1500</v>
      </c>
      <c r="G65" s="3">
        <v>2000</v>
      </c>
      <c r="H65" s="3">
        <f>100*Revenus!B65</f>
        <v>19600</v>
      </c>
      <c r="I65" s="3">
        <f>Hypothèses!$B$11*(Revenus!B66-Revenus!B65)</f>
        <v>0</v>
      </c>
      <c r="J65" s="3">
        <f t="shared" si="2"/>
        <v>33500</v>
      </c>
    </row>
    <row r="66" spans="1:10" x14ac:dyDescent="0.25">
      <c r="A66">
        <v>65</v>
      </c>
      <c r="B66" s="3">
        <v>8000</v>
      </c>
      <c r="C66" s="3">
        <f t="shared" si="0"/>
        <v>2400</v>
      </c>
      <c r="D66" s="3">
        <f t="shared" si="1"/>
        <v>10400</v>
      </c>
      <c r="E66" s="3">
        <v>0</v>
      </c>
      <c r="F66" s="3">
        <v>1500</v>
      </c>
      <c r="G66" s="3">
        <v>2000</v>
      </c>
      <c r="H66" s="3">
        <f>100*Revenus!B66</f>
        <v>19600</v>
      </c>
      <c r="I66" s="3">
        <f>Hypothèses!$B$11*(Revenus!B67-Revenus!B66)</f>
        <v>0</v>
      </c>
      <c r="J66" s="3">
        <f t="shared" si="2"/>
        <v>33500</v>
      </c>
    </row>
    <row r="67" spans="1:10" x14ac:dyDescent="0.25">
      <c r="A67">
        <v>66</v>
      </c>
      <c r="B67" s="3">
        <v>8000</v>
      </c>
      <c r="C67" s="3">
        <f t="shared" ref="C67:C84" si="3">B67*0.3</f>
        <v>2400</v>
      </c>
      <c r="D67" s="3">
        <f t="shared" ref="D67:D84" si="4">C67+B67</f>
        <v>10400</v>
      </c>
      <c r="E67" s="3">
        <v>0</v>
      </c>
      <c r="F67" s="3">
        <v>1500</v>
      </c>
      <c r="G67" s="3">
        <v>2000</v>
      </c>
      <c r="H67" s="3">
        <f>100*Revenus!B67</f>
        <v>19600</v>
      </c>
      <c r="I67" s="3">
        <f>Hypothèses!$B$11*(Revenus!B68-Revenus!B67)</f>
        <v>0</v>
      </c>
      <c r="J67" s="3">
        <f t="shared" ref="J67:J84" si="5">D67+E67+F67+G67+H67+I67</f>
        <v>33500</v>
      </c>
    </row>
    <row r="68" spans="1:10" x14ac:dyDescent="0.25">
      <c r="A68">
        <v>67</v>
      </c>
      <c r="B68" s="3">
        <v>8000</v>
      </c>
      <c r="C68" s="3">
        <f t="shared" si="3"/>
        <v>2400</v>
      </c>
      <c r="D68" s="3">
        <f t="shared" si="4"/>
        <v>10400</v>
      </c>
      <c r="E68" s="3">
        <v>0</v>
      </c>
      <c r="F68" s="3">
        <v>1500</v>
      </c>
      <c r="G68" s="3">
        <v>2000</v>
      </c>
      <c r="H68" s="3">
        <f>100*Revenus!B68</f>
        <v>19600</v>
      </c>
      <c r="I68" s="3">
        <f>Hypothèses!$B$11*(Revenus!B69-Revenus!B68)</f>
        <v>0</v>
      </c>
      <c r="J68" s="3">
        <f t="shared" si="5"/>
        <v>33500</v>
      </c>
    </row>
    <row r="69" spans="1:10" x14ac:dyDescent="0.25">
      <c r="A69">
        <v>68</v>
      </c>
      <c r="B69" s="3">
        <v>8000</v>
      </c>
      <c r="C69" s="3">
        <f t="shared" si="3"/>
        <v>2400</v>
      </c>
      <c r="D69" s="3">
        <f t="shared" si="4"/>
        <v>10400</v>
      </c>
      <c r="E69" s="3">
        <v>0</v>
      </c>
      <c r="F69" s="3">
        <v>1500</v>
      </c>
      <c r="G69" s="3">
        <v>2000</v>
      </c>
      <c r="H69" s="3">
        <f>100*Revenus!B69</f>
        <v>19600</v>
      </c>
      <c r="I69" s="3">
        <f>Hypothèses!$B$11*(Revenus!B70-Revenus!B69)</f>
        <v>0</v>
      </c>
      <c r="J69" s="3">
        <f t="shared" si="5"/>
        <v>33500</v>
      </c>
    </row>
    <row r="70" spans="1:10" x14ac:dyDescent="0.25">
      <c r="A70">
        <v>69</v>
      </c>
      <c r="B70" s="3">
        <v>8000</v>
      </c>
      <c r="C70" s="3">
        <f t="shared" si="3"/>
        <v>2400</v>
      </c>
      <c r="D70" s="3">
        <f t="shared" si="4"/>
        <v>10400</v>
      </c>
      <c r="E70" s="3">
        <v>0</v>
      </c>
      <c r="F70" s="3">
        <v>1500</v>
      </c>
      <c r="G70" s="3">
        <v>2000</v>
      </c>
      <c r="H70" s="3">
        <f>100*Revenus!B70</f>
        <v>19600</v>
      </c>
      <c r="I70" s="3">
        <f>Hypothèses!$B$11*(Revenus!B71-Revenus!B70)</f>
        <v>0</v>
      </c>
      <c r="J70" s="3">
        <f t="shared" si="5"/>
        <v>33500</v>
      </c>
    </row>
    <row r="71" spans="1:10" x14ac:dyDescent="0.25">
      <c r="A71">
        <v>70</v>
      </c>
      <c r="B71" s="3">
        <v>8000</v>
      </c>
      <c r="C71" s="3">
        <f t="shared" si="3"/>
        <v>2400</v>
      </c>
      <c r="D71" s="3">
        <f t="shared" si="4"/>
        <v>10400</v>
      </c>
      <c r="E71" s="3">
        <v>0</v>
      </c>
      <c r="F71" s="3">
        <v>1500</v>
      </c>
      <c r="G71" s="3">
        <v>2000</v>
      </c>
      <c r="H71" s="3">
        <f>100*Revenus!B71</f>
        <v>19600</v>
      </c>
      <c r="I71" s="3">
        <f>Hypothèses!$B$11*(Revenus!B72-Revenus!B71)</f>
        <v>0</v>
      </c>
      <c r="J71" s="3">
        <f t="shared" si="5"/>
        <v>33500</v>
      </c>
    </row>
    <row r="72" spans="1:10" x14ac:dyDescent="0.25">
      <c r="A72">
        <v>71</v>
      </c>
      <c r="B72" s="3">
        <v>8000</v>
      </c>
      <c r="C72" s="3">
        <f t="shared" si="3"/>
        <v>2400</v>
      </c>
      <c r="D72" s="3">
        <f t="shared" si="4"/>
        <v>10400</v>
      </c>
      <c r="E72" s="3">
        <v>0</v>
      </c>
      <c r="F72" s="3">
        <v>1500</v>
      </c>
      <c r="G72" s="3">
        <v>2000</v>
      </c>
      <c r="H72" s="3">
        <f>100*Revenus!B72</f>
        <v>19600</v>
      </c>
      <c r="I72" s="3">
        <f>Hypothèses!$B$11*(Revenus!B73-Revenus!B72)</f>
        <v>0</v>
      </c>
      <c r="J72" s="3">
        <f t="shared" si="5"/>
        <v>33500</v>
      </c>
    </row>
    <row r="73" spans="1:10" x14ac:dyDescent="0.25">
      <c r="A73">
        <v>72</v>
      </c>
      <c r="B73" s="3">
        <v>8000</v>
      </c>
      <c r="C73" s="3">
        <f t="shared" si="3"/>
        <v>2400</v>
      </c>
      <c r="D73" s="3">
        <f t="shared" si="4"/>
        <v>10400</v>
      </c>
      <c r="E73" s="3">
        <v>100000</v>
      </c>
      <c r="F73" s="3">
        <v>1500</v>
      </c>
      <c r="G73" s="3">
        <v>2000</v>
      </c>
      <c r="H73" s="3">
        <f>100*Revenus!B73</f>
        <v>19600</v>
      </c>
      <c r="I73" s="3">
        <f>Hypothèses!$B$11*(Revenus!B74-Revenus!B73)</f>
        <v>0</v>
      </c>
      <c r="J73" s="3">
        <f t="shared" si="5"/>
        <v>133500</v>
      </c>
    </row>
    <row r="74" spans="1:10" x14ac:dyDescent="0.25">
      <c r="A74">
        <v>73</v>
      </c>
      <c r="B74" s="3">
        <v>8000</v>
      </c>
      <c r="C74" s="3">
        <f t="shared" si="3"/>
        <v>2400</v>
      </c>
      <c r="D74" s="3">
        <f t="shared" si="4"/>
        <v>10400</v>
      </c>
      <c r="F74" s="3">
        <v>1500</v>
      </c>
      <c r="G74" s="3">
        <v>2000</v>
      </c>
      <c r="H74" s="3">
        <f>100*Revenus!B74</f>
        <v>19600</v>
      </c>
      <c r="J74" s="3">
        <f t="shared" si="5"/>
        <v>33500</v>
      </c>
    </row>
    <row r="75" spans="1:10" x14ac:dyDescent="0.25">
      <c r="A75">
        <v>74</v>
      </c>
      <c r="B75" s="3">
        <v>8000</v>
      </c>
      <c r="C75" s="3">
        <f t="shared" si="3"/>
        <v>2400</v>
      </c>
      <c r="D75" s="3">
        <f t="shared" si="4"/>
        <v>10400</v>
      </c>
      <c r="F75" s="3">
        <v>1500</v>
      </c>
      <c r="G75" s="3">
        <v>2000</v>
      </c>
      <c r="H75" s="3">
        <f>100*Revenus!B75</f>
        <v>19600</v>
      </c>
      <c r="J75" s="3">
        <f t="shared" si="5"/>
        <v>33500</v>
      </c>
    </row>
    <row r="76" spans="1:10" x14ac:dyDescent="0.25">
      <c r="A76">
        <v>75</v>
      </c>
      <c r="B76" s="3">
        <v>8000</v>
      </c>
      <c r="C76" s="3">
        <f t="shared" si="3"/>
        <v>2400</v>
      </c>
      <c r="D76" s="3">
        <f t="shared" si="4"/>
        <v>10400</v>
      </c>
      <c r="F76" s="3">
        <v>1500</v>
      </c>
      <c r="G76" s="3">
        <v>2000</v>
      </c>
      <c r="H76" s="3">
        <f>100*Revenus!B76</f>
        <v>19600</v>
      </c>
      <c r="J76" s="3">
        <f t="shared" si="5"/>
        <v>33500</v>
      </c>
    </row>
    <row r="77" spans="1:10" x14ac:dyDescent="0.25">
      <c r="A77">
        <v>76</v>
      </c>
      <c r="B77" s="3">
        <v>8000</v>
      </c>
      <c r="C77" s="3">
        <f t="shared" si="3"/>
        <v>2400</v>
      </c>
      <c r="D77" s="3">
        <f t="shared" si="4"/>
        <v>10400</v>
      </c>
      <c r="F77" s="3">
        <v>1500</v>
      </c>
      <c r="G77" s="3">
        <v>2000</v>
      </c>
      <c r="H77" s="3">
        <f>100*Revenus!B77</f>
        <v>19600</v>
      </c>
      <c r="J77" s="3">
        <f t="shared" si="5"/>
        <v>33500</v>
      </c>
    </row>
    <row r="78" spans="1:10" x14ac:dyDescent="0.25">
      <c r="A78">
        <v>77</v>
      </c>
      <c r="B78" s="3">
        <v>8000</v>
      </c>
      <c r="C78" s="3">
        <f t="shared" si="3"/>
        <v>2400</v>
      </c>
      <c r="D78" s="3">
        <f t="shared" si="4"/>
        <v>10400</v>
      </c>
      <c r="F78" s="3">
        <v>1500</v>
      </c>
      <c r="G78" s="3">
        <v>2000</v>
      </c>
      <c r="H78" s="3">
        <f>100*Revenus!B78</f>
        <v>19600</v>
      </c>
      <c r="J78" s="3">
        <f t="shared" si="5"/>
        <v>33500</v>
      </c>
    </row>
    <row r="79" spans="1:10" x14ac:dyDescent="0.25">
      <c r="A79">
        <v>78</v>
      </c>
      <c r="B79" s="3">
        <v>8000</v>
      </c>
      <c r="C79" s="3">
        <f t="shared" si="3"/>
        <v>2400</v>
      </c>
      <c r="D79" s="3">
        <f t="shared" si="4"/>
        <v>10400</v>
      </c>
      <c r="F79" s="3">
        <v>1500</v>
      </c>
      <c r="G79" s="3">
        <v>2000</v>
      </c>
      <c r="H79" s="3">
        <f>100*Revenus!B79</f>
        <v>19600</v>
      </c>
      <c r="J79" s="3">
        <f t="shared" si="5"/>
        <v>33500</v>
      </c>
    </row>
    <row r="80" spans="1:10" x14ac:dyDescent="0.25">
      <c r="A80">
        <v>79</v>
      </c>
      <c r="B80" s="3">
        <v>8000</v>
      </c>
      <c r="C80" s="3">
        <f t="shared" si="3"/>
        <v>2400</v>
      </c>
      <c r="D80" s="3">
        <f t="shared" si="4"/>
        <v>10400</v>
      </c>
      <c r="F80" s="3">
        <v>1500</v>
      </c>
      <c r="G80" s="3">
        <v>2000</v>
      </c>
      <c r="H80" s="3">
        <f>100*Revenus!B80</f>
        <v>19600</v>
      </c>
      <c r="J80" s="3">
        <f t="shared" si="5"/>
        <v>33500</v>
      </c>
    </row>
    <row r="81" spans="1:10" x14ac:dyDescent="0.25">
      <c r="A81">
        <v>80</v>
      </c>
      <c r="B81" s="3">
        <v>8000</v>
      </c>
      <c r="C81" s="3">
        <f t="shared" si="3"/>
        <v>2400</v>
      </c>
      <c r="D81" s="3">
        <f t="shared" si="4"/>
        <v>10400</v>
      </c>
      <c r="F81" s="3">
        <v>1500</v>
      </c>
      <c r="G81" s="3">
        <v>2000</v>
      </c>
      <c r="H81" s="3">
        <f>100*Revenus!B81</f>
        <v>19600</v>
      </c>
      <c r="J81" s="3">
        <f t="shared" si="5"/>
        <v>33500</v>
      </c>
    </row>
    <row r="82" spans="1:10" x14ac:dyDescent="0.25">
      <c r="A82">
        <v>81</v>
      </c>
      <c r="B82" s="3">
        <v>8000</v>
      </c>
      <c r="C82" s="3">
        <f t="shared" si="3"/>
        <v>2400</v>
      </c>
      <c r="D82" s="3">
        <f t="shared" si="4"/>
        <v>10400</v>
      </c>
      <c r="F82" s="3">
        <v>1500</v>
      </c>
      <c r="G82" s="3">
        <v>2000</v>
      </c>
      <c r="H82" s="3">
        <f>100*Revenus!B82</f>
        <v>19600</v>
      </c>
      <c r="J82" s="3">
        <f t="shared" si="5"/>
        <v>33500</v>
      </c>
    </row>
    <row r="83" spans="1:10" x14ac:dyDescent="0.25">
      <c r="A83">
        <v>82</v>
      </c>
      <c r="B83" s="3">
        <v>8000</v>
      </c>
      <c r="C83" s="3">
        <f t="shared" si="3"/>
        <v>2400</v>
      </c>
      <c r="D83" s="3">
        <f t="shared" si="4"/>
        <v>10400</v>
      </c>
      <c r="F83" s="3">
        <v>1500</v>
      </c>
      <c r="G83" s="3">
        <v>2000</v>
      </c>
      <c r="H83" s="3">
        <f>100*Revenus!B83</f>
        <v>19600</v>
      </c>
      <c r="J83" s="3">
        <f t="shared" si="5"/>
        <v>33500</v>
      </c>
    </row>
    <row r="84" spans="1:10" x14ac:dyDescent="0.25">
      <c r="A84">
        <v>83</v>
      </c>
      <c r="B84" s="3">
        <v>8000</v>
      </c>
      <c r="C84" s="3">
        <f t="shared" si="3"/>
        <v>2400</v>
      </c>
      <c r="D84" s="3">
        <f t="shared" si="4"/>
        <v>10400</v>
      </c>
      <c r="F84" s="3">
        <v>1500</v>
      </c>
      <c r="G84" s="3">
        <v>2000</v>
      </c>
      <c r="H84" s="3">
        <f>100*Revenus!B84</f>
        <v>19600</v>
      </c>
      <c r="J84" s="3">
        <f t="shared" si="5"/>
        <v>33500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F10" workbookViewId="0">
      <selection activeCell="N14" sqref="N14"/>
    </sheetView>
  </sheetViews>
  <sheetFormatPr baseColWidth="10" defaultColWidth="8.85546875" defaultRowHeight="15" x14ac:dyDescent="0.25"/>
  <cols>
    <col min="1" max="1" width="5.42578125" bestFit="1" customWidth="1"/>
    <col min="2" max="2" width="17.28515625" style="3" bestFit="1" customWidth="1"/>
    <col min="3" max="4" width="12.85546875" style="3" bestFit="1" customWidth="1"/>
    <col min="5" max="5" width="27.85546875" style="3" bestFit="1" customWidth="1"/>
    <col min="6" max="6" width="17.28515625" style="3" bestFit="1" customWidth="1"/>
    <col min="7" max="8" width="12.85546875" style="3" bestFit="1" customWidth="1"/>
    <col min="9" max="9" width="27.85546875" style="3" bestFit="1" customWidth="1"/>
    <col min="10" max="10" width="17.28515625" style="3" bestFit="1" customWidth="1"/>
    <col min="11" max="12" width="12.85546875" style="3" bestFit="1" customWidth="1"/>
    <col min="13" max="13" width="27.85546875" style="3" bestFit="1" customWidth="1"/>
    <col min="14" max="14" width="19.7109375" bestFit="1" customWidth="1"/>
  </cols>
  <sheetData>
    <row r="1" spans="1:14" x14ac:dyDescent="0.25">
      <c r="A1" s="1" t="s">
        <v>15</v>
      </c>
      <c r="B1" s="2" t="s">
        <v>28</v>
      </c>
      <c r="C1" s="2" t="s">
        <v>29</v>
      </c>
      <c r="D1" s="2" t="s">
        <v>50</v>
      </c>
      <c r="E1" s="2" t="s">
        <v>30</v>
      </c>
      <c r="F1" s="2" t="s">
        <v>28</v>
      </c>
      <c r="G1" s="2" t="s">
        <v>29</v>
      </c>
      <c r="H1" s="2" t="s">
        <v>50</v>
      </c>
      <c r="I1" s="2" t="s">
        <v>30</v>
      </c>
      <c r="J1" s="2" t="s">
        <v>28</v>
      </c>
      <c r="K1" s="2" t="s">
        <v>29</v>
      </c>
      <c r="L1" s="2" t="s">
        <v>50</v>
      </c>
      <c r="M1" s="2" t="s">
        <v>30</v>
      </c>
      <c r="N1" s="8" t="s">
        <v>51</v>
      </c>
    </row>
    <row r="2" spans="1:14" x14ac:dyDescent="0.25">
      <c r="A2">
        <v>1</v>
      </c>
      <c r="B2" s="3">
        <f t="shared" ref="B2:B13" si="0">C2+D2</f>
        <v>7550.7403999999997</v>
      </c>
      <c r="D2" s="3">
        <v>7550.7403999999997</v>
      </c>
      <c r="E2" s="3">
        <v>755074.03999999992</v>
      </c>
      <c r="F2" s="3">
        <f t="shared" ref="F2:F16" si="1">G2+H2</f>
        <v>0</v>
      </c>
      <c r="J2" s="3">
        <f t="shared" ref="J2:J20" si="2">K2+L2</f>
        <v>0</v>
      </c>
      <c r="K2" s="7"/>
      <c r="L2" s="7"/>
      <c r="M2" s="7"/>
      <c r="N2" s="6">
        <f>J2+F2+B2</f>
        <v>7550.7403999999997</v>
      </c>
    </row>
    <row r="3" spans="1:14" x14ac:dyDescent="0.25">
      <c r="A3">
        <v>2</v>
      </c>
      <c r="B3" s="3">
        <f t="shared" si="0"/>
        <v>7550.7403999999997</v>
      </c>
      <c r="D3" s="3">
        <v>7550.7403999999997</v>
      </c>
      <c r="E3" s="3">
        <v>755074.03999999992</v>
      </c>
      <c r="F3" s="3">
        <f t="shared" si="1"/>
        <v>0</v>
      </c>
      <c r="J3" s="3">
        <f t="shared" si="2"/>
        <v>0</v>
      </c>
      <c r="K3" s="7"/>
      <c r="L3" s="7"/>
      <c r="M3" s="7"/>
      <c r="N3" s="6">
        <f t="shared" ref="N3:N66" si="3">J3+F3+B3</f>
        <v>7550.7403999999997</v>
      </c>
    </row>
    <row r="4" spans="1:14" x14ac:dyDescent="0.25">
      <c r="A4">
        <v>3</v>
      </c>
      <c r="B4" s="3">
        <f t="shared" si="0"/>
        <v>7550.7403999999997</v>
      </c>
      <c r="D4" s="3">
        <v>7550.7403999999997</v>
      </c>
      <c r="E4" s="3">
        <v>755074.03999999992</v>
      </c>
      <c r="F4" s="3">
        <f t="shared" si="1"/>
        <v>0</v>
      </c>
      <c r="J4" s="3">
        <f t="shared" si="2"/>
        <v>0</v>
      </c>
      <c r="K4" s="7"/>
      <c r="L4" s="7"/>
      <c r="M4" s="7"/>
      <c r="N4" s="6">
        <f t="shared" si="3"/>
        <v>7550.7403999999997</v>
      </c>
    </row>
    <row r="5" spans="1:14" x14ac:dyDescent="0.25">
      <c r="A5">
        <v>4</v>
      </c>
      <c r="B5" s="3">
        <f t="shared" si="0"/>
        <v>7550.7403999999997</v>
      </c>
      <c r="D5" s="3">
        <v>7550.7403999999997</v>
      </c>
      <c r="E5" s="3">
        <v>755074.03999999992</v>
      </c>
      <c r="F5" s="3">
        <f t="shared" si="1"/>
        <v>7550.7403999999997</v>
      </c>
      <c r="H5" s="3">
        <v>7550.7403999999997</v>
      </c>
      <c r="I5" s="3">
        <v>755074.03999999992</v>
      </c>
      <c r="J5" s="3">
        <f t="shared" si="2"/>
        <v>0</v>
      </c>
      <c r="K5" s="7"/>
      <c r="L5" s="7"/>
      <c r="M5" s="7"/>
      <c r="N5" s="6">
        <f t="shared" si="3"/>
        <v>15101.480799999999</v>
      </c>
    </row>
    <row r="6" spans="1:14" x14ac:dyDescent="0.25">
      <c r="A6">
        <v>5</v>
      </c>
      <c r="B6" s="3">
        <f t="shared" si="0"/>
        <v>7550.7403999999997</v>
      </c>
      <c r="D6" s="3">
        <v>7550.7403999999997</v>
      </c>
      <c r="E6" s="3">
        <v>755074.03999999992</v>
      </c>
      <c r="F6" s="3">
        <f t="shared" si="1"/>
        <v>7550.7403999999997</v>
      </c>
      <c r="H6" s="3">
        <v>7550.7403999999997</v>
      </c>
      <c r="I6" s="3">
        <v>755074.03999999992</v>
      </c>
      <c r="J6" s="3">
        <f t="shared" si="2"/>
        <v>0</v>
      </c>
      <c r="K6" s="7"/>
      <c r="L6" s="7"/>
      <c r="M6" s="7"/>
      <c r="N6" s="6">
        <f t="shared" si="3"/>
        <v>15101.480799999999</v>
      </c>
    </row>
    <row r="7" spans="1:14" x14ac:dyDescent="0.25">
      <c r="A7">
        <v>6</v>
      </c>
      <c r="B7" s="3">
        <f t="shared" si="0"/>
        <v>7550.7403999999997</v>
      </c>
      <c r="D7" s="3">
        <v>7550.7403999999997</v>
      </c>
      <c r="E7" s="3">
        <v>755074.03999999992</v>
      </c>
      <c r="F7" s="3">
        <f t="shared" si="1"/>
        <v>7550.7403999999997</v>
      </c>
      <c r="H7" s="3">
        <v>7550.7403999999997</v>
      </c>
      <c r="I7" s="3">
        <v>755074.03999999992</v>
      </c>
      <c r="J7" s="3">
        <f t="shared" si="2"/>
        <v>0</v>
      </c>
      <c r="K7" s="7"/>
      <c r="L7" s="7"/>
      <c r="M7" s="7"/>
      <c r="N7" s="6">
        <f t="shared" si="3"/>
        <v>15101.480799999999</v>
      </c>
    </row>
    <row r="8" spans="1:14" x14ac:dyDescent="0.25">
      <c r="A8">
        <v>7</v>
      </c>
      <c r="B8" s="3">
        <f t="shared" si="0"/>
        <v>7550.7403999999997</v>
      </c>
      <c r="D8" s="3">
        <v>7550.7403999999997</v>
      </c>
      <c r="E8" s="3">
        <v>755074.03999999992</v>
      </c>
      <c r="F8" s="3">
        <f t="shared" si="1"/>
        <v>7550.7403999999997</v>
      </c>
      <c r="H8" s="3">
        <v>7550.7403999999997</v>
      </c>
      <c r="I8" s="3">
        <v>755074.03999999992</v>
      </c>
      <c r="J8" s="3">
        <f t="shared" si="2"/>
        <v>0</v>
      </c>
      <c r="K8" s="7"/>
      <c r="L8" s="7"/>
      <c r="M8" s="7"/>
      <c r="N8" s="6">
        <f t="shared" si="3"/>
        <v>15101.480799999999</v>
      </c>
    </row>
    <row r="9" spans="1:14" x14ac:dyDescent="0.25">
      <c r="A9">
        <v>8</v>
      </c>
      <c r="B9" s="3">
        <f t="shared" si="0"/>
        <v>7550.7403999999997</v>
      </c>
      <c r="D9" s="3">
        <v>7550.7403999999997</v>
      </c>
      <c r="E9" s="3">
        <v>755074.03999999992</v>
      </c>
      <c r="F9" s="3">
        <f t="shared" si="1"/>
        <v>7550.7403999999997</v>
      </c>
      <c r="H9" s="3">
        <v>7550.7403999999997</v>
      </c>
      <c r="I9" s="3">
        <v>755074.03999999992</v>
      </c>
      <c r="J9" s="3">
        <f t="shared" si="2"/>
        <v>7550.7403999999997</v>
      </c>
      <c r="L9" s="3">
        <v>7550.7403999999997</v>
      </c>
      <c r="M9" s="3">
        <v>755074.03999999992</v>
      </c>
      <c r="N9" s="6">
        <f t="shared" si="3"/>
        <v>22652.2212</v>
      </c>
    </row>
    <row r="10" spans="1:14" x14ac:dyDescent="0.25">
      <c r="A10">
        <v>9</v>
      </c>
      <c r="B10" s="3">
        <f t="shared" si="0"/>
        <v>7550.7403999999997</v>
      </c>
      <c r="D10" s="3">
        <v>7550.7403999999997</v>
      </c>
      <c r="E10" s="3">
        <v>755074.03999999992</v>
      </c>
      <c r="F10" s="3">
        <f t="shared" si="1"/>
        <v>7550.7403999999997</v>
      </c>
      <c r="H10" s="3">
        <v>7550.7403999999997</v>
      </c>
      <c r="I10" s="3">
        <v>755074.03999999992</v>
      </c>
      <c r="J10" s="3">
        <f t="shared" si="2"/>
        <v>7550.7403999999997</v>
      </c>
      <c r="L10" s="3">
        <v>7550.7403999999997</v>
      </c>
      <c r="M10" s="3">
        <v>755074.03999999992</v>
      </c>
      <c r="N10" s="6">
        <f t="shared" si="3"/>
        <v>22652.2212</v>
      </c>
    </row>
    <row r="11" spans="1:14" x14ac:dyDescent="0.25">
      <c r="A11">
        <v>10</v>
      </c>
      <c r="B11" s="3">
        <f t="shared" si="0"/>
        <v>7550.7403999999997</v>
      </c>
      <c r="D11" s="3">
        <v>7550.7403999999997</v>
      </c>
      <c r="E11" s="3">
        <v>755074.03999999992</v>
      </c>
      <c r="F11" s="3">
        <f t="shared" si="1"/>
        <v>7550.7403999999997</v>
      </c>
      <c r="H11" s="3">
        <v>7550.7403999999997</v>
      </c>
      <c r="I11" s="3">
        <v>755074.03999999992</v>
      </c>
      <c r="J11" s="3">
        <f t="shared" si="2"/>
        <v>7550.7403999999997</v>
      </c>
      <c r="L11" s="3">
        <v>7550.7403999999997</v>
      </c>
      <c r="M11" s="3">
        <v>755074.03999999992</v>
      </c>
      <c r="N11" s="6">
        <f t="shared" si="3"/>
        <v>22652.2212</v>
      </c>
    </row>
    <row r="12" spans="1:14" x14ac:dyDescent="0.25">
      <c r="A12">
        <v>11</v>
      </c>
      <c r="B12" s="3">
        <f t="shared" si="0"/>
        <v>7550.7403999999997</v>
      </c>
      <c r="D12" s="3">
        <v>7550.7403999999997</v>
      </c>
      <c r="E12" s="3">
        <v>755074.03999999992</v>
      </c>
      <c r="F12" s="3">
        <f t="shared" si="1"/>
        <v>7550.7403999999997</v>
      </c>
      <c r="H12" s="3">
        <v>7550.7403999999997</v>
      </c>
      <c r="I12" s="3">
        <v>755074.03999999992</v>
      </c>
      <c r="J12" s="3">
        <f t="shared" si="2"/>
        <v>7550.7403999999997</v>
      </c>
      <c r="L12" s="3">
        <v>7550.7403999999997</v>
      </c>
      <c r="M12" s="3">
        <v>755074.03999999992</v>
      </c>
      <c r="N12" s="6">
        <f t="shared" si="3"/>
        <v>22652.2212</v>
      </c>
    </row>
    <row r="13" spans="1:14" x14ac:dyDescent="0.25">
      <c r="A13">
        <v>12</v>
      </c>
      <c r="B13" s="3">
        <f t="shared" si="0"/>
        <v>7550.7403999999997</v>
      </c>
      <c r="D13" s="3">
        <v>7550.7403999999997</v>
      </c>
      <c r="E13" s="3">
        <v>755074.03999999992</v>
      </c>
      <c r="F13" s="3">
        <f t="shared" si="1"/>
        <v>7550.7403999999997</v>
      </c>
      <c r="H13" s="3">
        <v>7550.7403999999997</v>
      </c>
      <c r="I13" s="3">
        <v>755074.03999999992</v>
      </c>
      <c r="J13" s="3">
        <f t="shared" si="2"/>
        <v>7550.7403999999997</v>
      </c>
      <c r="L13" s="3">
        <v>7550.7403999999997</v>
      </c>
      <c r="M13" s="3">
        <v>755074.03999999992</v>
      </c>
      <c r="N13" s="6">
        <f t="shared" si="3"/>
        <v>22652.2212</v>
      </c>
    </row>
    <row r="14" spans="1:14" x14ac:dyDescent="0.25">
      <c r="A14">
        <v>13</v>
      </c>
      <c r="B14" s="3">
        <f>C14+D14</f>
        <v>16796.20498100742</v>
      </c>
      <c r="C14" s="3">
        <v>9245.4645810074217</v>
      </c>
      <c r="D14" s="3">
        <v>7550.7403999999997</v>
      </c>
      <c r="E14" s="3">
        <f>E13-C14</f>
        <v>745828.57541899255</v>
      </c>
      <c r="F14" s="3">
        <f t="shared" si="1"/>
        <v>7550.7403999999997</v>
      </c>
      <c r="H14" s="3">
        <v>7550.7403999999997</v>
      </c>
      <c r="I14" s="3">
        <v>755074.03999999992</v>
      </c>
      <c r="J14" s="3">
        <f t="shared" si="2"/>
        <v>7550.7403999999997</v>
      </c>
      <c r="L14" s="3">
        <v>7550.7403999999997</v>
      </c>
      <c r="M14" s="3">
        <v>755074.03999999992</v>
      </c>
      <c r="N14" s="6">
        <f t="shared" si="3"/>
        <v>31897.685781007422</v>
      </c>
    </row>
    <row r="15" spans="1:14" x14ac:dyDescent="0.25">
      <c r="A15">
        <v>14</v>
      </c>
      <c r="B15" s="3">
        <f t="shared" ref="B15:B73" si="4">C15+D15</f>
        <v>16796.20498100742</v>
      </c>
      <c r="C15" s="3">
        <v>9337.9192268174957</v>
      </c>
      <c r="D15" s="3">
        <v>7458.2857541899257</v>
      </c>
      <c r="E15" s="3">
        <f t="shared" ref="E15:E73" si="5">E14-C15</f>
        <v>736490.65619217511</v>
      </c>
      <c r="F15" s="3">
        <f t="shared" si="1"/>
        <v>7550.7403999999997</v>
      </c>
      <c r="H15" s="3">
        <v>7550.7403999999997</v>
      </c>
      <c r="I15" s="3">
        <v>755074.03999999992</v>
      </c>
      <c r="J15" s="3">
        <f t="shared" si="2"/>
        <v>7550.7403999999997</v>
      </c>
      <c r="L15" s="3">
        <v>7550.7403999999997</v>
      </c>
      <c r="M15" s="3">
        <v>755074.03999999992</v>
      </c>
      <c r="N15" s="6">
        <f t="shared" si="3"/>
        <v>31897.685781007422</v>
      </c>
    </row>
    <row r="16" spans="1:14" x14ac:dyDescent="0.25">
      <c r="A16">
        <v>15</v>
      </c>
      <c r="B16" s="3">
        <f t="shared" si="4"/>
        <v>16796.20498100742</v>
      </c>
      <c r="C16" s="3">
        <v>9431.2984190856696</v>
      </c>
      <c r="D16" s="3">
        <v>7364.9065619217508</v>
      </c>
      <c r="E16" s="3">
        <f t="shared" si="5"/>
        <v>727059.35777308943</v>
      </c>
      <c r="F16" s="3">
        <f t="shared" si="1"/>
        <v>7550.7403999999997</v>
      </c>
      <c r="H16" s="3">
        <v>7550.7403999999997</v>
      </c>
      <c r="I16" s="3">
        <v>755074.03999999992</v>
      </c>
      <c r="J16" s="3">
        <f t="shared" si="2"/>
        <v>7550.7403999999997</v>
      </c>
      <c r="L16" s="3">
        <v>7550.7403999999997</v>
      </c>
      <c r="M16" s="3">
        <v>755074.03999999992</v>
      </c>
      <c r="N16" s="6">
        <f t="shared" si="3"/>
        <v>31897.685781007422</v>
      </c>
    </row>
    <row r="17" spans="1:14" x14ac:dyDescent="0.25">
      <c r="A17">
        <v>16</v>
      </c>
      <c r="B17" s="3">
        <f t="shared" si="4"/>
        <v>16796.20498100742</v>
      </c>
      <c r="C17" s="3">
        <v>9525.6114032765254</v>
      </c>
      <c r="D17" s="3">
        <v>7270.5935777308941</v>
      </c>
      <c r="E17" s="3">
        <f t="shared" si="5"/>
        <v>717533.74636981287</v>
      </c>
      <c r="F17" s="3">
        <f>G17+H17</f>
        <v>16796.20498100742</v>
      </c>
      <c r="G17" s="3">
        <v>9245.4645810074217</v>
      </c>
      <c r="H17" s="3">
        <v>7550.7403999999997</v>
      </c>
      <c r="I17" s="3">
        <f>I16-G17</f>
        <v>745828.57541899255</v>
      </c>
      <c r="J17" s="3">
        <f t="shared" si="2"/>
        <v>7550.7403999999997</v>
      </c>
      <c r="L17" s="3">
        <v>7550.7403999999997</v>
      </c>
      <c r="M17" s="3">
        <v>755074.03999999992</v>
      </c>
      <c r="N17" s="6">
        <f t="shared" si="3"/>
        <v>41143.150362014843</v>
      </c>
    </row>
    <row r="18" spans="1:14" x14ac:dyDescent="0.25">
      <c r="A18">
        <v>17</v>
      </c>
      <c r="B18" s="3">
        <f t="shared" si="4"/>
        <v>16796.20498100742</v>
      </c>
      <c r="C18" s="3">
        <v>9620.8675173092925</v>
      </c>
      <c r="D18" s="3">
        <v>7175.3374636981289</v>
      </c>
      <c r="E18" s="3">
        <f t="shared" si="5"/>
        <v>707912.87885250361</v>
      </c>
      <c r="F18" s="3">
        <f t="shared" ref="F18:F76" si="6">G18+H18</f>
        <v>16796.20498100742</v>
      </c>
      <c r="G18" s="3">
        <v>9337.9192268174957</v>
      </c>
      <c r="H18" s="3">
        <v>7458.2857541899257</v>
      </c>
      <c r="I18" s="3">
        <f t="shared" ref="I18:I76" si="7">I17-G18</f>
        <v>736490.65619217511</v>
      </c>
      <c r="J18" s="3">
        <f t="shared" si="2"/>
        <v>7550.7403999999997</v>
      </c>
      <c r="L18" s="3">
        <v>7550.7403999999997</v>
      </c>
      <c r="M18" s="3">
        <v>755074.03999999992</v>
      </c>
      <c r="N18" s="6">
        <f t="shared" si="3"/>
        <v>41143.150362014843</v>
      </c>
    </row>
    <row r="19" spans="1:14" x14ac:dyDescent="0.25">
      <c r="A19">
        <v>18</v>
      </c>
      <c r="B19" s="3">
        <f t="shared" si="4"/>
        <v>16796.20498100742</v>
      </c>
      <c r="C19" s="3">
        <v>9717.0761924823855</v>
      </c>
      <c r="D19" s="3">
        <v>7079.1287885250358</v>
      </c>
      <c r="E19" s="3">
        <f t="shared" si="5"/>
        <v>698195.80266002123</v>
      </c>
      <c r="F19" s="3">
        <f t="shared" si="6"/>
        <v>16796.20498100742</v>
      </c>
      <c r="G19" s="3">
        <v>9431.2984190856696</v>
      </c>
      <c r="H19" s="3">
        <v>7364.9065619217508</v>
      </c>
      <c r="I19" s="3">
        <f t="shared" si="7"/>
        <v>727059.35777308943</v>
      </c>
      <c r="J19" s="3">
        <f t="shared" si="2"/>
        <v>7550.7403999999997</v>
      </c>
      <c r="L19" s="3">
        <v>7550.7403999999997</v>
      </c>
      <c r="M19" s="3">
        <v>755074.03999999992</v>
      </c>
      <c r="N19" s="6">
        <f t="shared" si="3"/>
        <v>41143.150362014843</v>
      </c>
    </row>
    <row r="20" spans="1:14" x14ac:dyDescent="0.25">
      <c r="A20">
        <v>19</v>
      </c>
      <c r="B20" s="3">
        <f t="shared" si="4"/>
        <v>16796.20498100742</v>
      </c>
      <c r="C20" s="3">
        <v>9814.2469544072082</v>
      </c>
      <c r="D20" s="3">
        <v>6981.9580266002122</v>
      </c>
      <c r="E20" s="3">
        <f t="shared" si="5"/>
        <v>688381.55570561404</v>
      </c>
      <c r="F20" s="3">
        <f t="shared" si="6"/>
        <v>16796.20498100742</v>
      </c>
      <c r="G20" s="3">
        <v>9525.6114032765254</v>
      </c>
      <c r="H20" s="3">
        <v>7270.5935777308941</v>
      </c>
      <c r="I20" s="3">
        <f t="shared" si="7"/>
        <v>717533.74636981287</v>
      </c>
      <c r="J20" s="3">
        <f t="shared" si="2"/>
        <v>7550.7403999999997</v>
      </c>
      <c r="L20" s="3">
        <v>7550.7403999999997</v>
      </c>
      <c r="M20" s="3">
        <v>755074.03999999992</v>
      </c>
      <c r="N20" s="6">
        <f t="shared" si="3"/>
        <v>41143.150362014843</v>
      </c>
    </row>
    <row r="21" spans="1:14" x14ac:dyDescent="0.25">
      <c r="A21">
        <v>20</v>
      </c>
      <c r="B21" s="3">
        <f t="shared" si="4"/>
        <v>16796.20498100742</v>
      </c>
      <c r="C21" s="3">
        <v>9912.3894239512811</v>
      </c>
      <c r="D21" s="3">
        <v>6883.8155570561403</v>
      </c>
      <c r="E21" s="3">
        <f t="shared" si="5"/>
        <v>678469.16628166276</v>
      </c>
      <c r="F21" s="3">
        <f t="shared" si="6"/>
        <v>16796.20498100742</v>
      </c>
      <c r="G21" s="3">
        <v>9620.8675173092925</v>
      </c>
      <c r="H21" s="3">
        <v>7175.3374636981289</v>
      </c>
      <c r="I21" s="3">
        <f t="shared" si="7"/>
        <v>707912.87885250361</v>
      </c>
      <c r="J21" s="3">
        <f>K21+L21</f>
        <v>16796.20498100742</v>
      </c>
      <c r="K21" s="3">
        <v>9245.4645810074217</v>
      </c>
      <c r="L21" s="3">
        <v>7550.7403999999997</v>
      </c>
      <c r="M21" s="3">
        <f>M20-K21</f>
        <v>745828.57541899255</v>
      </c>
      <c r="N21" s="6">
        <f t="shared" si="3"/>
        <v>50388.614943022258</v>
      </c>
    </row>
    <row r="22" spans="1:14" x14ac:dyDescent="0.25">
      <c r="A22">
        <v>21</v>
      </c>
      <c r="B22" s="3">
        <f t="shared" si="4"/>
        <v>16796.20498100742</v>
      </c>
      <c r="C22" s="3">
        <v>10011.513318190791</v>
      </c>
      <c r="D22" s="3">
        <v>6784.6916628166282</v>
      </c>
      <c r="E22" s="3">
        <f t="shared" si="5"/>
        <v>668457.65296347195</v>
      </c>
      <c r="F22" s="3">
        <f t="shared" si="6"/>
        <v>16796.20498100742</v>
      </c>
      <c r="G22" s="3">
        <v>9717.0761924823855</v>
      </c>
      <c r="H22" s="3">
        <v>7079.1287885250358</v>
      </c>
      <c r="I22" s="3">
        <f t="shared" si="7"/>
        <v>698195.80266002123</v>
      </c>
      <c r="J22" s="3">
        <f t="shared" ref="J22:J80" si="8">K22+L22</f>
        <v>16796.20498100742</v>
      </c>
      <c r="K22" s="3">
        <v>9337.9192268174957</v>
      </c>
      <c r="L22" s="3">
        <v>7458.2857541899257</v>
      </c>
      <c r="M22" s="3">
        <f t="shared" ref="M22:M80" si="9">M21-K22</f>
        <v>736490.65619217511</v>
      </c>
      <c r="N22" s="6">
        <f t="shared" si="3"/>
        <v>50388.614943022258</v>
      </c>
    </row>
    <row r="23" spans="1:14" x14ac:dyDescent="0.25">
      <c r="A23">
        <v>22</v>
      </c>
      <c r="B23" s="3">
        <f t="shared" si="4"/>
        <v>16796.20498100742</v>
      </c>
      <c r="C23" s="3">
        <v>10111.628451372701</v>
      </c>
      <c r="D23" s="3">
        <v>6684.5765296347199</v>
      </c>
      <c r="E23" s="3">
        <f t="shared" si="5"/>
        <v>658346.02451209922</v>
      </c>
      <c r="F23" s="3">
        <f t="shared" si="6"/>
        <v>16796.20498100742</v>
      </c>
      <c r="G23" s="3">
        <v>9814.2469544072082</v>
      </c>
      <c r="H23" s="3">
        <v>6981.9580266002122</v>
      </c>
      <c r="I23" s="3">
        <f t="shared" si="7"/>
        <v>688381.55570561404</v>
      </c>
      <c r="J23" s="3">
        <f t="shared" si="8"/>
        <v>16796.20498100742</v>
      </c>
      <c r="K23" s="3">
        <v>9431.2984190856696</v>
      </c>
      <c r="L23" s="3">
        <v>7364.9065619217508</v>
      </c>
      <c r="M23" s="3">
        <f t="shared" si="9"/>
        <v>727059.35777308943</v>
      </c>
      <c r="N23" s="6">
        <f t="shared" si="3"/>
        <v>50388.614943022258</v>
      </c>
    </row>
    <row r="24" spans="1:14" x14ac:dyDescent="0.25">
      <c r="A24">
        <v>23</v>
      </c>
      <c r="B24" s="3">
        <f t="shared" si="4"/>
        <v>16796.20498100742</v>
      </c>
      <c r="C24" s="3">
        <v>10212.744735886428</v>
      </c>
      <c r="D24" s="3">
        <v>6583.4602451209921</v>
      </c>
      <c r="E24" s="3">
        <f t="shared" si="5"/>
        <v>648133.27977621276</v>
      </c>
      <c r="F24" s="3">
        <f t="shared" si="6"/>
        <v>16796.20498100742</v>
      </c>
      <c r="G24" s="3">
        <v>9912.3894239512811</v>
      </c>
      <c r="H24" s="3">
        <v>6883.8155570561403</v>
      </c>
      <c r="I24" s="3">
        <f t="shared" si="7"/>
        <v>678469.16628166276</v>
      </c>
      <c r="J24" s="3">
        <f t="shared" si="8"/>
        <v>16796.20498100742</v>
      </c>
      <c r="K24" s="3">
        <v>9525.6114032765254</v>
      </c>
      <c r="L24" s="3">
        <v>7270.5935777308941</v>
      </c>
      <c r="M24" s="3">
        <f t="shared" si="9"/>
        <v>717533.74636981287</v>
      </c>
      <c r="N24" s="6">
        <f t="shared" si="3"/>
        <v>50388.614943022258</v>
      </c>
    </row>
    <row r="25" spans="1:14" x14ac:dyDescent="0.25">
      <c r="A25">
        <v>24</v>
      </c>
      <c r="B25" s="3">
        <f t="shared" si="4"/>
        <v>16796.20498100742</v>
      </c>
      <c r="C25" s="3">
        <v>10314.872183245294</v>
      </c>
      <c r="D25" s="3">
        <v>6481.3327977621275</v>
      </c>
      <c r="E25" s="3">
        <f t="shared" si="5"/>
        <v>637818.4075929675</v>
      </c>
      <c r="F25" s="3">
        <f t="shared" si="6"/>
        <v>16796.20498100742</v>
      </c>
      <c r="G25" s="3">
        <v>10011.513318190791</v>
      </c>
      <c r="H25" s="3">
        <v>6784.6916628166282</v>
      </c>
      <c r="I25" s="3">
        <f t="shared" si="7"/>
        <v>668457.65296347195</v>
      </c>
      <c r="J25" s="3">
        <f t="shared" si="8"/>
        <v>16796.20498100742</v>
      </c>
      <c r="K25" s="3">
        <v>9620.8675173092925</v>
      </c>
      <c r="L25" s="3">
        <v>7175.3374636981289</v>
      </c>
      <c r="M25" s="3">
        <f t="shared" si="9"/>
        <v>707912.87885250361</v>
      </c>
      <c r="N25" s="6">
        <f t="shared" si="3"/>
        <v>50388.614943022258</v>
      </c>
    </row>
    <row r="26" spans="1:14" x14ac:dyDescent="0.25">
      <c r="A26">
        <v>25</v>
      </c>
      <c r="B26" s="3">
        <f t="shared" si="4"/>
        <v>16796.20498100742</v>
      </c>
      <c r="C26" s="3">
        <v>10418.020905077745</v>
      </c>
      <c r="D26" s="3">
        <v>6378.1840759296756</v>
      </c>
      <c r="E26" s="3">
        <f t="shared" si="5"/>
        <v>627400.38668788981</v>
      </c>
      <c r="F26" s="3">
        <f t="shared" si="6"/>
        <v>16796.20498100742</v>
      </c>
      <c r="G26" s="3">
        <v>10111.628451372701</v>
      </c>
      <c r="H26" s="3">
        <v>6684.5765296347199</v>
      </c>
      <c r="I26" s="3">
        <f t="shared" si="7"/>
        <v>658346.02451209922</v>
      </c>
      <c r="J26" s="3">
        <f t="shared" si="8"/>
        <v>16796.20498100742</v>
      </c>
      <c r="K26" s="3">
        <v>9717.0761924823855</v>
      </c>
      <c r="L26" s="3">
        <v>7079.1287885250358</v>
      </c>
      <c r="M26" s="3">
        <f t="shared" si="9"/>
        <v>698195.80266002123</v>
      </c>
      <c r="N26" s="6">
        <f t="shared" si="3"/>
        <v>50388.614943022258</v>
      </c>
    </row>
    <row r="27" spans="1:14" x14ac:dyDescent="0.25">
      <c r="A27">
        <v>26</v>
      </c>
      <c r="B27" s="3">
        <f t="shared" si="4"/>
        <v>16796.20498100742</v>
      </c>
      <c r="C27" s="3">
        <v>10522.201114128522</v>
      </c>
      <c r="D27" s="3">
        <v>6274.0038668788984</v>
      </c>
      <c r="E27" s="3">
        <f t="shared" si="5"/>
        <v>616878.18557376123</v>
      </c>
      <c r="F27" s="3">
        <f t="shared" si="6"/>
        <v>16796.20498100742</v>
      </c>
      <c r="G27" s="3">
        <v>10212.744735886428</v>
      </c>
      <c r="H27" s="3">
        <v>6583.4602451209921</v>
      </c>
      <c r="I27" s="3">
        <f t="shared" si="7"/>
        <v>648133.27977621276</v>
      </c>
      <c r="J27" s="3">
        <f t="shared" si="8"/>
        <v>16796.20498100742</v>
      </c>
      <c r="K27" s="3">
        <v>9814.2469544072082</v>
      </c>
      <c r="L27" s="3">
        <v>6981.9580266002122</v>
      </c>
      <c r="M27" s="3">
        <f t="shared" si="9"/>
        <v>688381.55570561404</v>
      </c>
      <c r="N27" s="6">
        <f t="shared" si="3"/>
        <v>50388.614943022258</v>
      </c>
    </row>
    <row r="28" spans="1:14" x14ac:dyDescent="0.25">
      <c r="A28">
        <v>27</v>
      </c>
      <c r="B28" s="3">
        <f t="shared" si="4"/>
        <v>16796.20498100742</v>
      </c>
      <c r="C28" s="3">
        <v>10627.423125269808</v>
      </c>
      <c r="D28" s="3">
        <v>6168.7818557376122</v>
      </c>
      <c r="E28" s="3">
        <f t="shared" si="5"/>
        <v>606250.76244849141</v>
      </c>
      <c r="F28" s="3">
        <f t="shared" si="6"/>
        <v>16796.20498100742</v>
      </c>
      <c r="G28" s="3">
        <v>10314.872183245294</v>
      </c>
      <c r="H28" s="3">
        <v>6481.3327977621275</v>
      </c>
      <c r="I28" s="3">
        <f t="shared" si="7"/>
        <v>637818.4075929675</v>
      </c>
      <c r="J28" s="3">
        <f t="shared" si="8"/>
        <v>16796.20498100742</v>
      </c>
      <c r="K28" s="3">
        <v>9912.3894239512811</v>
      </c>
      <c r="L28" s="3">
        <v>6883.8155570561403</v>
      </c>
      <c r="M28" s="3">
        <f t="shared" si="9"/>
        <v>678469.16628166276</v>
      </c>
      <c r="N28" s="6">
        <f t="shared" si="3"/>
        <v>50388.614943022258</v>
      </c>
    </row>
    <row r="29" spans="1:14" x14ac:dyDescent="0.25">
      <c r="A29">
        <v>28</v>
      </c>
      <c r="B29" s="3">
        <f t="shared" si="4"/>
        <v>16796.20498100742</v>
      </c>
      <c r="C29" s="3">
        <v>10733.697356522505</v>
      </c>
      <c r="D29" s="3">
        <v>6062.5076244849142</v>
      </c>
      <c r="E29" s="3">
        <f t="shared" si="5"/>
        <v>595517.06509196886</v>
      </c>
      <c r="F29" s="3">
        <f t="shared" si="6"/>
        <v>16796.20498100742</v>
      </c>
      <c r="G29" s="3">
        <v>10418.020905077745</v>
      </c>
      <c r="H29" s="3">
        <v>6378.1840759296756</v>
      </c>
      <c r="I29" s="3">
        <f t="shared" si="7"/>
        <v>627400.38668788981</v>
      </c>
      <c r="J29" s="3">
        <f t="shared" si="8"/>
        <v>16796.20498100742</v>
      </c>
      <c r="K29" s="3">
        <v>10011.513318190791</v>
      </c>
      <c r="L29" s="3">
        <v>6784.6916628166282</v>
      </c>
      <c r="M29" s="3">
        <f t="shared" si="9"/>
        <v>668457.65296347195</v>
      </c>
      <c r="N29" s="6">
        <f t="shared" si="3"/>
        <v>50388.614943022258</v>
      </c>
    </row>
    <row r="30" spans="1:14" x14ac:dyDescent="0.25">
      <c r="A30">
        <v>29</v>
      </c>
      <c r="B30" s="3">
        <f t="shared" si="4"/>
        <v>16796.20498100742</v>
      </c>
      <c r="C30" s="3">
        <v>10841.034330087732</v>
      </c>
      <c r="D30" s="3">
        <v>5955.1706509196883</v>
      </c>
      <c r="E30" s="3">
        <f t="shared" si="5"/>
        <v>584676.03076188115</v>
      </c>
      <c r="F30" s="3">
        <f t="shared" si="6"/>
        <v>16796.20498100742</v>
      </c>
      <c r="G30" s="3">
        <v>10522.201114128522</v>
      </c>
      <c r="H30" s="3">
        <v>6274.0038668788984</v>
      </c>
      <c r="I30" s="3">
        <f t="shared" si="7"/>
        <v>616878.18557376123</v>
      </c>
      <c r="J30" s="3">
        <f t="shared" si="8"/>
        <v>16796.20498100742</v>
      </c>
      <c r="K30" s="3">
        <v>10111.628451372701</v>
      </c>
      <c r="L30" s="3">
        <v>6684.5765296347199</v>
      </c>
      <c r="M30" s="3">
        <f t="shared" si="9"/>
        <v>658346.02451209922</v>
      </c>
      <c r="N30" s="6">
        <f t="shared" si="3"/>
        <v>50388.614943022258</v>
      </c>
    </row>
    <row r="31" spans="1:14" x14ac:dyDescent="0.25">
      <c r="A31">
        <v>30</v>
      </c>
      <c r="B31" s="3">
        <f t="shared" si="4"/>
        <v>16796.20498100742</v>
      </c>
      <c r="C31" s="3">
        <v>10949.444673388609</v>
      </c>
      <c r="D31" s="3">
        <v>5846.7603076188116</v>
      </c>
      <c r="E31" s="3">
        <f t="shared" si="5"/>
        <v>573726.58608849254</v>
      </c>
      <c r="F31" s="3">
        <f t="shared" si="6"/>
        <v>16796.20498100742</v>
      </c>
      <c r="G31" s="3">
        <v>10627.423125269808</v>
      </c>
      <c r="H31" s="3">
        <v>6168.7818557376122</v>
      </c>
      <c r="I31" s="3">
        <f t="shared" si="7"/>
        <v>606250.76244849141</v>
      </c>
      <c r="J31" s="3">
        <f t="shared" si="8"/>
        <v>16796.20498100742</v>
      </c>
      <c r="K31" s="3">
        <v>10212.744735886428</v>
      </c>
      <c r="L31" s="3">
        <v>6583.4602451209921</v>
      </c>
      <c r="M31" s="3">
        <f t="shared" si="9"/>
        <v>648133.27977621276</v>
      </c>
      <c r="N31" s="6">
        <f t="shared" si="3"/>
        <v>50388.614943022258</v>
      </c>
    </row>
    <row r="32" spans="1:14" x14ac:dyDescent="0.25">
      <c r="A32">
        <v>31</v>
      </c>
      <c r="B32" s="3">
        <f t="shared" si="4"/>
        <v>16796.20498100742</v>
      </c>
      <c r="C32" s="3">
        <v>11058.939120122495</v>
      </c>
      <c r="D32" s="3">
        <v>5737.2658608849251</v>
      </c>
      <c r="E32" s="3">
        <f t="shared" si="5"/>
        <v>562667.64696837007</v>
      </c>
      <c r="F32" s="3">
        <f t="shared" si="6"/>
        <v>16796.20498100742</v>
      </c>
      <c r="G32" s="3">
        <v>10733.697356522505</v>
      </c>
      <c r="H32" s="3">
        <v>6062.5076244849142</v>
      </c>
      <c r="I32" s="3">
        <f t="shared" si="7"/>
        <v>595517.06509196886</v>
      </c>
      <c r="J32" s="3">
        <f t="shared" si="8"/>
        <v>16796.20498100742</v>
      </c>
      <c r="K32" s="3">
        <v>10314.872183245294</v>
      </c>
      <c r="L32" s="3">
        <v>6481.3327977621275</v>
      </c>
      <c r="M32" s="3">
        <f t="shared" si="9"/>
        <v>637818.4075929675</v>
      </c>
      <c r="N32" s="6">
        <f t="shared" si="3"/>
        <v>50388.614943022258</v>
      </c>
    </row>
    <row r="33" spans="1:14" x14ac:dyDescent="0.25">
      <c r="A33">
        <v>32</v>
      </c>
      <c r="B33" s="3">
        <f t="shared" si="4"/>
        <v>16796.20498100742</v>
      </c>
      <c r="C33" s="3">
        <v>11169.528511323719</v>
      </c>
      <c r="D33" s="3">
        <v>5626.6764696837008</v>
      </c>
      <c r="E33" s="3">
        <f t="shared" si="5"/>
        <v>551498.11845704634</v>
      </c>
      <c r="F33" s="3">
        <f t="shared" si="6"/>
        <v>16796.20498100742</v>
      </c>
      <c r="G33" s="3">
        <v>10841.034330087732</v>
      </c>
      <c r="H33" s="3">
        <v>5955.1706509196883</v>
      </c>
      <c r="I33" s="3">
        <f t="shared" si="7"/>
        <v>584676.03076188115</v>
      </c>
      <c r="J33" s="3">
        <f t="shared" si="8"/>
        <v>16796.20498100742</v>
      </c>
      <c r="K33" s="3">
        <v>10418.020905077745</v>
      </c>
      <c r="L33" s="3">
        <v>6378.1840759296756</v>
      </c>
      <c r="M33" s="3">
        <f t="shared" si="9"/>
        <v>627400.38668788981</v>
      </c>
      <c r="N33" s="6">
        <f t="shared" si="3"/>
        <v>50388.614943022258</v>
      </c>
    </row>
    <row r="34" spans="1:14" x14ac:dyDescent="0.25">
      <c r="A34">
        <v>33</v>
      </c>
      <c r="B34" s="3">
        <f t="shared" si="4"/>
        <v>16796.20498100742</v>
      </c>
      <c r="C34" s="3">
        <v>11281.223796436956</v>
      </c>
      <c r="D34" s="3">
        <v>5514.9811845704635</v>
      </c>
      <c r="E34" s="3">
        <f t="shared" si="5"/>
        <v>540216.89466060943</v>
      </c>
      <c r="F34" s="3">
        <f t="shared" si="6"/>
        <v>16796.20498100742</v>
      </c>
      <c r="G34" s="3">
        <v>10949.444673388609</v>
      </c>
      <c r="H34" s="3">
        <v>5846.7603076188116</v>
      </c>
      <c r="I34" s="3">
        <f t="shared" si="7"/>
        <v>573726.58608849254</v>
      </c>
      <c r="J34" s="3">
        <f t="shared" si="8"/>
        <v>16796.20498100742</v>
      </c>
      <c r="K34" s="3">
        <v>10522.201114128522</v>
      </c>
      <c r="L34" s="3">
        <v>6274.0038668788984</v>
      </c>
      <c r="M34" s="3">
        <f t="shared" si="9"/>
        <v>616878.18557376123</v>
      </c>
      <c r="N34" s="6">
        <f t="shared" si="3"/>
        <v>50388.614943022258</v>
      </c>
    </row>
    <row r="35" spans="1:14" x14ac:dyDescent="0.25">
      <c r="A35">
        <v>34</v>
      </c>
      <c r="B35" s="3">
        <f t="shared" si="4"/>
        <v>16796.20498100742</v>
      </c>
      <c r="C35" s="3">
        <v>11394.036034401326</v>
      </c>
      <c r="D35" s="3">
        <v>5402.1689466060943</v>
      </c>
      <c r="E35" s="3">
        <f t="shared" si="5"/>
        <v>528822.85862620815</v>
      </c>
      <c r="F35" s="3">
        <f t="shared" si="6"/>
        <v>16796.20498100742</v>
      </c>
      <c r="G35" s="3">
        <v>11058.939120122495</v>
      </c>
      <c r="H35" s="3">
        <v>5737.2658608849251</v>
      </c>
      <c r="I35" s="3">
        <f t="shared" si="7"/>
        <v>562667.64696837007</v>
      </c>
      <c r="J35" s="3">
        <f t="shared" si="8"/>
        <v>16796.20498100742</v>
      </c>
      <c r="K35" s="3">
        <v>10627.423125269808</v>
      </c>
      <c r="L35" s="3">
        <v>6168.7818557376122</v>
      </c>
      <c r="M35" s="3">
        <f t="shared" si="9"/>
        <v>606250.76244849141</v>
      </c>
      <c r="N35" s="6">
        <f t="shared" si="3"/>
        <v>50388.614943022258</v>
      </c>
    </row>
    <row r="36" spans="1:14" x14ac:dyDescent="0.25">
      <c r="A36">
        <v>35</v>
      </c>
      <c r="B36" s="3">
        <f t="shared" si="4"/>
        <v>16796.20498100742</v>
      </c>
      <c r="C36" s="3">
        <v>11507.976394745339</v>
      </c>
      <c r="D36" s="3">
        <v>5288.228586262082</v>
      </c>
      <c r="E36" s="3">
        <f t="shared" si="5"/>
        <v>517314.88223146281</v>
      </c>
      <c r="F36" s="3">
        <f t="shared" si="6"/>
        <v>16796.20498100742</v>
      </c>
      <c r="G36" s="3">
        <v>11169.528511323719</v>
      </c>
      <c r="H36" s="3">
        <v>5626.6764696837008</v>
      </c>
      <c r="I36" s="3">
        <f t="shared" si="7"/>
        <v>551498.11845704634</v>
      </c>
      <c r="J36" s="3">
        <f t="shared" si="8"/>
        <v>16796.20498100742</v>
      </c>
      <c r="K36" s="3">
        <v>10733.697356522505</v>
      </c>
      <c r="L36" s="3">
        <v>6062.5076244849142</v>
      </c>
      <c r="M36" s="3">
        <f t="shared" si="9"/>
        <v>595517.06509196886</v>
      </c>
      <c r="N36" s="6">
        <f t="shared" si="3"/>
        <v>50388.614943022258</v>
      </c>
    </row>
    <row r="37" spans="1:14" x14ac:dyDescent="0.25">
      <c r="A37">
        <v>36</v>
      </c>
      <c r="B37" s="3">
        <f t="shared" si="4"/>
        <v>16796.20498100742</v>
      </c>
      <c r="C37" s="3">
        <v>11623.056158692792</v>
      </c>
      <c r="D37" s="3">
        <v>5173.148822314628</v>
      </c>
      <c r="E37" s="3">
        <f t="shared" si="5"/>
        <v>505691.82607277</v>
      </c>
      <c r="F37" s="3">
        <f t="shared" si="6"/>
        <v>16796.20498100742</v>
      </c>
      <c r="G37" s="3">
        <v>11281.223796436956</v>
      </c>
      <c r="H37" s="3">
        <v>5514.9811845704635</v>
      </c>
      <c r="I37" s="3">
        <f t="shared" si="7"/>
        <v>540216.89466060943</v>
      </c>
      <c r="J37" s="3">
        <f t="shared" si="8"/>
        <v>16796.20498100742</v>
      </c>
      <c r="K37" s="3">
        <v>10841.034330087732</v>
      </c>
      <c r="L37" s="3">
        <v>5955.1706509196883</v>
      </c>
      <c r="M37" s="3">
        <f t="shared" si="9"/>
        <v>584676.03076188115</v>
      </c>
      <c r="N37" s="6">
        <f t="shared" si="3"/>
        <v>50388.614943022258</v>
      </c>
    </row>
    <row r="38" spans="1:14" x14ac:dyDescent="0.25">
      <c r="A38">
        <v>37</v>
      </c>
      <c r="B38" s="3">
        <f t="shared" si="4"/>
        <v>16796.20498100742</v>
      </c>
      <c r="C38" s="3">
        <v>11739.286720279721</v>
      </c>
      <c r="D38" s="3">
        <v>5056.9182607276998</v>
      </c>
      <c r="E38" s="3">
        <f t="shared" si="5"/>
        <v>493952.53935249028</v>
      </c>
      <c r="F38" s="3">
        <f t="shared" si="6"/>
        <v>16796.20498100742</v>
      </c>
      <c r="G38" s="3">
        <v>11394.036034401326</v>
      </c>
      <c r="H38" s="3">
        <v>5402.1689466060943</v>
      </c>
      <c r="I38" s="3">
        <f t="shared" si="7"/>
        <v>528822.85862620815</v>
      </c>
      <c r="J38" s="3">
        <f t="shared" si="8"/>
        <v>16796.20498100742</v>
      </c>
      <c r="K38" s="3">
        <v>10949.444673388609</v>
      </c>
      <c r="L38" s="3">
        <v>5846.7603076188116</v>
      </c>
      <c r="M38" s="3">
        <f t="shared" si="9"/>
        <v>573726.58608849254</v>
      </c>
      <c r="N38" s="6">
        <f t="shared" si="3"/>
        <v>50388.614943022258</v>
      </c>
    </row>
    <row r="39" spans="1:14" x14ac:dyDescent="0.25">
      <c r="A39">
        <v>38</v>
      </c>
      <c r="B39" s="3">
        <f t="shared" si="4"/>
        <v>16796.20498100742</v>
      </c>
      <c r="C39" s="3">
        <v>11856.679587482518</v>
      </c>
      <c r="D39" s="3">
        <v>4939.5253935249029</v>
      </c>
      <c r="E39" s="3">
        <f t="shared" si="5"/>
        <v>482095.85976500774</v>
      </c>
      <c r="F39" s="3">
        <f t="shared" si="6"/>
        <v>16796.20498100742</v>
      </c>
      <c r="G39" s="3">
        <v>11507.976394745339</v>
      </c>
      <c r="H39" s="3">
        <v>5288.228586262082</v>
      </c>
      <c r="I39" s="3">
        <f t="shared" si="7"/>
        <v>517314.88223146281</v>
      </c>
      <c r="J39" s="3">
        <f t="shared" si="8"/>
        <v>16796.20498100742</v>
      </c>
      <c r="K39" s="3">
        <v>11058.939120122495</v>
      </c>
      <c r="L39" s="3">
        <v>5737.2658608849251</v>
      </c>
      <c r="M39" s="3">
        <f t="shared" si="9"/>
        <v>562667.64696837007</v>
      </c>
      <c r="N39" s="6">
        <f t="shared" si="3"/>
        <v>50388.614943022258</v>
      </c>
    </row>
    <row r="40" spans="1:14" x14ac:dyDescent="0.25">
      <c r="A40">
        <v>39</v>
      </c>
      <c r="B40" s="3">
        <f t="shared" si="4"/>
        <v>16796.20498100742</v>
      </c>
      <c r="C40" s="3">
        <v>11975.246383357342</v>
      </c>
      <c r="D40" s="3">
        <v>4820.9585976500775</v>
      </c>
      <c r="E40" s="3">
        <f t="shared" si="5"/>
        <v>470120.61338165042</v>
      </c>
      <c r="F40" s="3">
        <f t="shared" si="6"/>
        <v>16796.20498100742</v>
      </c>
      <c r="G40" s="3">
        <v>11623.056158692792</v>
      </c>
      <c r="H40" s="3">
        <v>5173.148822314628</v>
      </c>
      <c r="I40" s="3">
        <f t="shared" si="7"/>
        <v>505691.82607277</v>
      </c>
      <c r="J40" s="3">
        <f t="shared" si="8"/>
        <v>16796.20498100742</v>
      </c>
      <c r="K40" s="3">
        <v>11169.528511323719</v>
      </c>
      <c r="L40" s="3">
        <v>5626.6764696837008</v>
      </c>
      <c r="M40" s="3">
        <f t="shared" si="9"/>
        <v>551498.11845704634</v>
      </c>
      <c r="N40" s="6">
        <f t="shared" si="3"/>
        <v>50388.614943022258</v>
      </c>
    </row>
    <row r="41" spans="1:14" x14ac:dyDescent="0.25">
      <c r="A41">
        <v>40</v>
      </c>
      <c r="B41" s="3">
        <f t="shared" si="4"/>
        <v>16796.20498100742</v>
      </c>
      <c r="C41" s="3">
        <v>12094.998847190916</v>
      </c>
      <c r="D41" s="3">
        <v>4701.206133816504</v>
      </c>
      <c r="E41" s="3">
        <f t="shared" si="5"/>
        <v>458025.61453445948</v>
      </c>
      <c r="F41" s="3">
        <f t="shared" si="6"/>
        <v>16796.20498100742</v>
      </c>
      <c r="G41" s="3">
        <v>11739.286720279721</v>
      </c>
      <c r="H41" s="3">
        <v>5056.9182607276998</v>
      </c>
      <c r="I41" s="3">
        <f t="shared" si="7"/>
        <v>493952.53935249028</v>
      </c>
      <c r="J41" s="3">
        <f t="shared" si="8"/>
        <v>16796.20498100742</v>
      </c>
      <c r="K41" s="3">
        <v>11281.223796436956</v>
      </c>
      <c r="L41" s="3">
        <v>5514.9811845704635</v>
      </c>
      <c r="M41" s="3">
        <f t="shared" si="9"/>
        <v>540216.89466060943</v>
      </c>
      <c r="N41" s="6">
        <f t="shared" si="3"/>
        <v>50388.614943022258</v>
      </c>
    </row>
    <row r="42" spans="1:14" x14ac:dyDescent="0.25">
      <c r="A42">
        <v>41</v>
      </c>
      <c r="B42" s="3">
        <f t="shared" si="4"/>
        <v>16796.20498100742</v>
      </c>
      <c r="C42" s="3">
        <v>12215.948835662824</v>
      </c>
      <c r="D42" s="3">
        <v>4580.2561453445951</v>
      </c>
      <c r="E42" s="3">
        <f t="shared" si="5"/>
        <v>445809.66569879669</v>
      </c>
      <c r="F42" s="3">
        <f t="shared" si="6"/>
        <v>16796.20498100742</v>
      </c>
      <c r="G42" s="3">
        <v>11856.679587482518</v>
      </c>
      <c r="H42" s="3">
        <v>4939.5253935249029</v>
      </c>
      <c r="I42" s="3">
        <f t="shared" si="7"/>
        <v>482095.85976500774</v>
      </c>
      <c r="J42" s="3">
        <f t="shared" si="8"/>
        <v>16796.20498100742</v>
      </c>
      <c r="K42" s="3">
        <v>11394.036034401326</v>
      </c>
      <c r="L42" s="3">
        <v>5402.1689466060943</v>
      </c>
      <c r="M42" s="3">
        <f t="shared" si="9"/>
        <v>528822.85862620815</v>
      </c>
      <c r="N42" s="6">
        <f t="shared" si="3"/>
        <v>50388.614943022258</v>
      </c>
    </row>
    <row r="43" spans="1:14" x14ac:dyDescent="0.25">
      <c r="A43">
        <v>42</v>
      </c>
      <c r="B43" s="3">
        <f t="shared" si="4"/>
        <v>16796.20498100742</v>
      </c>
      <c r="C43" s="3">
        <v>12338.108324019453</v>
      </c>
      <c r="D43" s="3">
        <v>4458.0966569879665</v>
      </c>
      <c r="E43" s="3">
        <f t="shared" si="5"/>
        <v>433471.55737477721</v>
      </c>
      <c r="F43" s="3">
        <f t="shared" si="6"/>
        <v>16796.20498100742</v>
      </c>
      <c r="G43" s="3">
        <v>11975.246383357342</v>
      </c>
      <c r="H43" s="3">
        <v>4820.9585976500775</v>
      </c>
      <c r="I43" s="3">
        <f t="shared" si="7"/>
        <v>470120.61338165042</v>
      </c>
      <c r="J43" s="3">
        <f t="shared" si="8"/>
        <v>16796.20498100742</v>
      </c>
      <c r="K43" s="3">
        <v>11507.976394745339</v>
      </c>
      <c r="L43" s="3">
        <v>5288.228586262082</v>
      </c>
      <c r="M43" s="3">
        <f t="shared" si="9"/>
        <v>517314.88223146281</v>
      </c>
      <c r="N43" s="6">
        <f t="shared" si="3"/>
        <v>50388.614943022258</v>
      </c>
    </row>
    <row r="44" spans="1:14" x14ac:dyDescent="0.25">
      <c r="A44">
        <v>43</v>
      </c>
      <c r="B44" s="3">
        <f t="shared" si="4"/>
        <v>16796.20498100742</v>
      </c>
      <c r="C44" s="3">
        <v>12461.489407259647</v>
      </c>
      <c r="D44" s="3">
        <v>4334.7155737477724</v>
      </c>
      <c r="E44" s="3">
        <f t="shared" si="5"/>
        <v>421010.06796751759</v>
      </c>
      <c r="F44" s="3">
        <f t="shared" si="6"/>
        <v>16796.20498100742</v>
      </c>
      <c r="G44" s="3">
        <v>12094.998847190916</v>
      </c>
      <c r="H44" s="3">
        <v>4701.206133816504</v>
      </c>
      <c r="I44" s="3">
        <f t="shared" si="7"/>
        <v>458025.61453445948</v>
      </c>
      <c r="J44" s="3">
        <f t="shared" si="8"/>
        <v>16796.20498100742</v>
      </c>
      <c r="K44" s="3">
        <v>11623.056158692792</v>
      </c>
      <c r="L44" s="3">
        <v>5173.148822314628</v>
      </c>
      <c r="M44" s="3">
        <f t="shared" si="9"/>
        <v>505691.82607277</v>
      </c>
      <c r="N44" s="6">
        <f t="shared" si="3"/>
        <v>50388.614943022258</v>
      </c>
    </row>
    <row r="45" spans="1:14" x14ac:dyDescent="0.25">
      <c r="A45">
        <v>44</v>
      </c>
      <c r="B45" s="3">
        <f t="shared" si="4"/>
        <v>16796.20498100742</v>
      </c>
      <c r="C45" s="3">
        <v>12586.104301332245</v>
      </c>
      <c r="D45" s="3">
        <v>4210.1006796751763</v>
      </c>
      <c r="E45" s="3">
        <f t="shared" si="5"/>
        <v>408423.96366618533</v>
      </c>
      <c r="F45" s="3">
        <f t="shared" si="6"/>
        <v>16796.20498100742</v>
      </c>
      <c r="G45" s="3">
        <v>12215.948835662824</v>
      </c>
      <c r="H45" s="3">
        <v>4580.2561453445951</v>
      </c>
      <c r="I45" s="3">
        <f t="shared" si="7"/>
        <v>445809.66569879669</v>
      </c>
      <c r="J45" s="3">
        <f t="shared" si="8"/>
        <v>16796.20498100742</v>
      </c>
      <c r="K45" s="3">
        <v>11739.286720279721</v>
      </c>
      <c r="L45" s="3">
        <v>5056.9182607276998</v>
      </c>
      <c r="M45" s="3">
        <f t="shared" si="9"/>
        <v>493952.53935249028</v>
      </c>
      <c r="N45" s="6">
        <f t="shared" si="3"/>
        <v>50388.614943022258</v>
      </c>
    </row>
    <row r="46" spans="1:14" x14ac:dyDescent="0.25">
      <c r="A46">
        <v>45</v>
      </c>
      <c r="B46" s="3">
        <f t="shared" si="4"/>
        <v>16796.20498100742</v>
      </c>
      <c r="C46" s="3">
        <v>12711.965344345568</v>
      </c>
      <c r="D46" s="3">
        <v>4084.2396366618532</v>
      </c>
      <c r="E46" s="3">
        <f t="shared" si="5"/>
        <v>395711.99832183978</v>
      </c>
      <c r="F46" s="3">
        <f t="shared" si="6"/>
        <v>16796.20498100742</v>
      </c>
      <c r="G46" s="3">
        <v>12338.108324019453</v>
      </c>
      <c r="H46" s="3">
        <v>4458.0966569879665</v>
      </c>
      <c r="I46" s="3">
        <f t="shared" si="7"/>
        <v>433471.55737477721</v>
      </c>
      <c r="J46" s="3">
        <f t="shared" si="8"/>
        <v>16796.20498100742</v>
      </c>
      <c r="K46" s="3">
        <v>11856.679587482518</v>
      </c>
      <c r="L46" s="3">
        <v>4939.5253935249029</v>
      </c>
      <c r="M46" s="3">
        <f t="shared" si="9"/>
        <v>482095.85976500774</v>
      </c>
      <c r="N46" s="6">
        <f t="shared" si="3"/>
        <v>50388.614943022258</v>
      </c>
    </row>
    <row r="47" spans="1:14" x14ac:dyDescent="0.25">
      <c r="A47">
        <v>46</v>
      </c>
      <c r="B47" s="3">
        <f t="shared" si="4"/>
        <v>16796.20498100742</v>
      </c>
      <c r="C47" s="3">
        <v>12839.084997789023</v>
      </c>
      <c r="D47" s="3">
        <v>3957.1199832183979</v>
      </c>
      <c r="E47" s="3">
        <f t="shared" si="5"/>
        <v>382872.91332405078</v>
      </c>
      <c r="F47" s="3">
        <f t="shared" si="6"/>
        <v>16796.20498100742</v>
      </c>
      <c r="G47" s="3">
        <v>12461.489407259647</v>
      </c>
      <c r="H47" s="3">
        <v>4334.7155737477724</v>
      </c>
      <c r="I47" s="3">
        <f t="shared" si="7"/>
        <v>421010.06796751759</v>
      </c>
      <c r="J47" s="3">
        <f t="shared" si="8"/>
        <v>16796.20498100742</v>
      </c>
      <c r="K47" s="3">
        <v>11975.246383357342</v>
      </c>
      <c r="L47" s="3">
        <v>4820.9585976500775</v>
      </c>
      <c r="M47" s="3">
        <f t="shared" si="9"/>
        <v>470120.61338165042</v>
      </c>
      <c r="N47" s="6">
        <f t="shared" si="3"/>
        <v>50388.614943022258</v>
      </c>
    </row>
    <row r="48" spans="1:14" x14ac:dyDescent="0.25">
      <c r="A48">
        <v>47</v>
      </c>
      <c r="B48" s="3">
        <f t="shared" si="4"/>
        <v>16796.20498100742</v>
      </c>
      <c r="C48" s="3">
        <v>12967.475847766913</v>
      </c>
      <c r="D48" s="3">
        <v>3828.729133240508</v>
      </c>
      <c r="E48" s="3">
        <f t="shared" si="5"/>
        <v>369905.43747628387</v>
      </c>
      <c r="F48" s="3">
        <f t="shared" si="6"/>
        <v>16796.20498100742</v>
      </c>
      <c r="G48" s="3">
        <v>12586.104301332245</v>
      </c>
      <c r="H48" s="3">
        <v>4210.1006796751763</v>
      </c>
      <c r="I48" s="3">
        <f t="shared" si="7"/>
        <v>408423.96366618533</v>
      </c>
      <c r="J48" s="3">
        <f t="shared" si="8"/>
        <v>16796.20498100742</v>
      </c>
      <c r="K48" s="3">
        <v>12094.998847190916</v>
      </c>
      <c r="L48" s="3">
        <v>4701.206133816504</v>
      </c>
      <c r="M48" s="3">
        <f t="shared" si="9"/>
        <v>458025.61453445948</v>
      </c>
      <c r="N48" s="6">
        <f t="shared" si="3"/>
        <v>50388.614943022258</v>
      </c>
    </row>
    <row r="49" spans="1:14" x14ac:dyDescent="0.25">
      <c r="A49">
        <v>48</v>
      </c>
      <c r="B49" s="3">
        <f t="shared" si="4"/>
        <v>16796.20498100742</v>
      </c>
      <c r="C49" s="3">
        <v>13097.150606244581</v>
      </c>
      <c r="D49" s="3">
        <v>3699.054374762839</v>
      </c>
      <c r="E49" s="3">
        <f t="shared" si="5"/>
        <v>356808.2868700393</v>
      </c>
      <c r="F49" s="3">
        <f t="shared" si="6"/>
        <v>16796.20498100742</v>
      </c>
      <c r="G49" s="3">
        <v>12711.965344345568</v>
      </c>
      <c r="H49" s="3">
        <v>4084.2396366618532</v>
      </c>
      <c r="I49" s="3">
        <f t="shared" si="7"/>
        <v>395711.99832183978</v>
      </c>
      <c r="J49" s="3">
        <f t="shared" si="8"/>
        <v>16796.20498100742</v>
      </c>
      <c r="K49" s="3">
        <v>12215.948835662824</v>
      </c>
      <c r="L49" s="3">
        <v>4580.2561453445951</v>
      </c>
      <c r="M49" s="3">
        <f t="shared" si="9"/>
        <v>445809.66569879669</v>
      </c>
      <c r="N49" s="6">
        <f t="shared" si="3"/>
        <v>50388.614943022258</v>
      </c>
    </row>
    <row r="50" spans="1:14" x14ac:dyDescent="0.25">
      <c r="A50">
        <v>49</v>
      </c>
      <c r="B50" s="3">
        <f t="shared" si="4"/>
        <v>16796.20498100742</v>
      </c>
      <c r="C50" s="3">
        <v>13228.122112307028</v>
      </c>
      <c r="D50" s="3">
        <v>3568.0828687003932</v>
      </c>
      <c r="E50" s="3">
        <f t="shared" si="5"/>
        <v>343580.1647577323</v>
      </c>
      <c r="F50" s="3">
        <f t="shared" si="6"/>
        <v>16796.20498100742</v>
      </c>
      <c r="G50" s="3">
        <v>12839.084997789023</v>
      </c>
      <c r="H50" s="3">
        <v>3957.1199832183979</v>
      </c>
      <c r="I50" s="3">
        <f t="shared" si="7"/>
        <v>382872.91332405078</v>
      </c>
      <c r="J50" s="3">
        <f t="shared" si="8"/>
        <v>16796.20498100742</v>
      </c>
      <c r="K50" s="3">
        <v>12338.108324019453</v>
      </c>
      <c r="L50" s="3">
        <v>4458.0966569879665</v>
      </c>
      <c r="M50" s="3">
        <f t="shared" si="9"/>
        <v>433471.55737477721</v>
      </c>
      <c r="N50" s="6">
        <f t="shared" si="3"/>
        <v>50388.614943022258</v>
      </c>
    </row>
    <row r="51" spans="1:14" x14ac:dyDescent="0.25">
      <c r="A51">
        <v>50</v>
      </c>
      <c r="B51" s="3">
        <f t="shared" si="4"/>
        <v>16796.20498100742</v>
      </c>
      <c r="C51" s="3">
        <v>13360.403333430098</v>
      </c>
      <c r="D51" s="3">
        <v>3435.8016475773229</v>
      </c>
      <c r="E51" s="3">
        <f t="shared" si="5"/>
        <v>330219.76142430218</v>
      </c>
      <c r="F51" s="3">
        <f t="shared" si="6"/>
        <v>16796.20498100742</v>
      </c>
      <c r="G51" s="3">
        <v>12967.475847766913</v>
      </c>
      <c r="H51" s="3">
        <v>3828.729133240508</v>
      </c>
      <c r="I51" s="3">
        <f t="shared" si="7"/>
        <v>369905.43747628387</v>
      </c>
      <c r="J51" s="3">
        <f t="shared" si="8"/>
        <v>16796.20498100742</v>
      </c>
      <c r="K51" s="3">
        <v>12461.489407259647</v>
      </c>
      <c r="L51" s="3">
        <v>4334.7155737477724</v>
      </c>
      <c r="M51" s="3">
        <f t="shared" si="9"/>
        <v>421010.06796751759</v>
      </c>
      <c r="N51" s="6">
        <f t="shared" si="3"/>
        <v>50388.614943022258</v>
      </c>
    </row>
    <row r="52" spans="1:14" x14ac:dyDescent="0.25">
      <c r="A52">
        <v>51</v>
      </c>
      <c r="B52" s="3">
        <f t="shared" si="4"/>
        <v>16796.20498100742</v>
      </c>
      <c r="C52" s="3">
        <v>13494.007366764399</v>
      </c>
      <c r="D52" s="3">
        <v>3302.1976142430217</v>
      </c>
      <c r="E52" s="3">
        <f t="shared" si="5"/>
        <v>316725.75405753776</v>
      </c>
      <c r="F52" s="3">
        <f t="shared" si="6"/>
        <v>16796.20498100742</v>
      </c>
      <c r="G52" s="3">
        <v>13097.150606244581</v>
      </c>
      <c r="H52" s="3">
        <v>3699.054374762839</v>
      </c>
      <c r="I52" s="3">
        <f t="shared" si="7"/>
        <v>356808.2868700393</v>
      </c>
      <c r="J52" s="3">
        <f t="shared" si="8"/>
        <v>16796.20498100742</v>
      </c>
      <c r="K52" s="3">
        <v>12586.104301332245</v>
      </c>
      <c r="L52" s="3">
        <v>4210.1006796751763</v>
      </c>
      <c r="M52" s="3">
        <f t="shared" si="9"/>
        <v>408423.96366618533</v>
      </c>
      <c r="N52" s="6">
        <f t="shared" si="3"/>
        <v>50388.614943022258</v>
      </c>
    </row>
    <row r="53" spans="1:14" x14ac:dyDescent="0.25">
      <c r="A53">
        <v>52</v>
      </c>
      <c r="B53" s="3">
        <f t="shared" si="4"/>
        <v>16796.20498100742</v>
      </c>
      <c r="C53" s="3">
        <v>13628.947440432043</v>
      </c>
      <c r="D53" s="3">
        <v>3167.2575405753778</v>
      </c>
      <c r="E53" s="3">
        <f t="shared" si="5"/>
        <v>303096.80661710573</v>
      </c>
      <c r="F53" s="3">
        <f t="shared" si="6"/>
        <v>16796.20498100742</v>
      </c>
      <c r="G53" s="3">
        <v>13228.122112307028</v>
      </c>
      <c r="H53" s="3">
        <v>3568.0828687003932</v>
      </c>
      <c r="I53" s="3">
        <f t="shared" si="7"/>
        <v>343580.1647577323</v>
      </c>
      <c r="J53" s="3">
        <f t="shared" si="8"/>
        <v>16796.20498100742</v>
      </c>
      <c r="K53" s="3">
        <v>12711.965344345568</v>
      </c>
      <c r="L53" s="3">
        <v>4084.2396366618532</v>
      </c>
      <c r="M53" s="3">
        <f t="shared" si="9"/>
        <v>395711.99832183978</v>
      </c>
      <c r="N53" s="6">
        <f t="shared" si="3"/>
        <v>50388.614943022258</v>
      </c>
    </row>
    <row r="54" spans="1:14" x14ac:dyDescent="0.25">
      <c r="A54">
        <v>53</v>
      </c>
      <c r="B54" s="3">
        <f t="shared" si="4"/>
        <v>16796.20498100742</v>
      </c>
      <c r="C54" s="3">
        <v>13765.236914836363</v>
      </c>
      <c r="D54" s="3">
        <v>3030.9680661710572</v>
      </c>
      <c r="E54" s="3">
        <f t="shared" si="5"/>
        <v>289331.56970226939</v>
      </c>
      <c r="F54" s="3">
        <f t="shared" si="6"/>
        <v>16796.20498100742</v>
      </c>
      <c r="G54" s="3">
        <v>13360.403333430098</v>
      </c>
      <c r="H54" s="3">
        <v>3435.8016475773229</v>
      </c>
      <c r="I54" s="3">
        <f t="shared" si="7"/>
        <v>330219.76142430218</v>
      </c>
      <c r="J54" s="3">
        <f t="shared" si="8"/>
        <v>16796.20498100742</v>
      </c>
      <c r="K54" s="3">
        <v>12839.084997789023</v>
      </c>
      <c r="L54" s="3">
        <v>3957.1199832183979</v>
      </c>
      <c r="M54" s="3">
        <f t="shared" si="9"/>
        <v>382872.91332405078</v>
      </c>
      <c r="N54" s="6">
        <f t="shared" si="3"/>
        <v>50388.614943022258</v>
      </c>
    </row>
    <row r="55" spans="1:14" x14ac:dyDescent="0.25">
      <c r="A55">
        <v>54</v>
      </c>
      <c r="B55" s="3">
        <f t="shared" si="4"/>
        <v>16796.20498100742</v>
      </c>
      <c r="C55" s="3">
        <v>13902.889283984727</v>
      </c>
      <c r="D55" s="3">
        <v>2893.3156970226942</v>
      </c>
      <c r="E55" s="3">
        <f t="shared" si="5"/>
        <v>275428.68041828467</v>
      </c>
      <c r="F55" s="3">
        <f t="shared" si="6"/>
        <v>16796.20498100742</v>
      </c>
      <c r="G55" s="3">
        <v>13494.007366764399</v>
      </c>
      <c r="H55" s="3">
        <v>3302.1976142430217</v>
      </c>
      <c r="I55" s="3">
        <f t="shared" si="7"/>
        <v>316725.75405753776</v>
      </c>
      <c r="J55" s="3">
        <f t="shared" si="8"/>
        <v>16796.20498100742</v>
      </c>
      <c r="K55" s="3">
        <v>12967.475847766913</v>
      </c>
      <c r="L55" s="3">
        <v>3828.729133240508</v>
      </c>
      <c r="M55" s="3">
        <f t="shared" si="9"/>
        <v>369905.43747628387</v>
      </c>
      <c r="N55" s="6">
        <f t="shared" si="3"/>
        <v>50388.614943022258</v>
      </c>
    </row>
    <row r="56" spans="1:14" x14ac:dyDescent="0.25">
      <c r="A56">
        <v>55</v>
      </c>
      <c r="B56" s="3">
        <f t="shared" si="4"/>
        <v>16796.20498100742</v>
      </c>
      <c r="C56" s="3">
        <v>14041.918176824573</v>
      </c>
      <c r="D56" s="3">
        <v>2754.2868041828469</v>
      </c>
      <c r="E56" s="3">
        <f t="shared" si="5"/>
        <v>261386.76224146009</v>
      </c>
      <c r="F56" s="3">
        <f t="shared" si="6"/>
        <v>16796.20498100742</v>
      </c>
      <c r="G56" s="3">
        <v>13628.947440432043</v>
      </c>
      <c r="H56" s="3">
        <v>3167.2575405753778</v>
      </c>
      <c r="I56" s="3">
        <f t="shared" si="7"/>
        <v>303096.80661710573</v>
      </c>
      <c r="J56" s="3">
        <f t="shared" si="8"/>
        <v>16796.20498100742</v>
      </c>
      <c r="K56" s="3">
        <v>13097.150606244581</v>
      </c>
      <c r="L56" s="3">
        <v>3699.054374762839</v>
      </c>
      <c r="M56" s="3">
        <f t="shared" si="9"/>
        <v>356808.2868700393</v>
      </c>
      <c r="N56" s="6">
        <f t="shared" si="3"/>
        <v>50388.614943022258</v>
      </c>
    </row>
    <row r="57" spans="1:14" x14ac:dyDescent="0.25">
      <c r="A57">
        <v>56</v>
      </c>
      <c r="B57" s="3">
        <f t="shared" si="4"/>
        <v>16796.20498100742</v>
      </c>
      <c r="C57" s="3">
        <v>14182.33735859282</v>
      </c>
      <c r="D57" s="3">
        <v>2613.8676224146011</v>
      </c>
      <c r="E57" s="3">
        <f t="shared" si="5"/>
        <v>247204.42488286726</v>
      </c>
      <c r="F57" s="3">
        <f t="shared" si="6"/>
        <v>16796.20498100742</v>
      </c>
      <c r="G57" s="3">
        <v>13765.236914836363</v>
      </c>
      <c r="H57" s="3">
        <v>3030.9680661710572</v>
      </c>
      <c r="I57" s="3">
        <f t="shared" si="7"/>
        <v>289331.56970226939</v>
      </c>
      <c r="J57" s="3">
        <f t="shared" si="8"/>
        <v>16796.20498100742</v>
      </c>
      <c r="K57" s="3">
        <v>13228.122112307028</v>
      </c>
      <c r="L57" s="3">
        <v>3568.0828687003932</v>
      </c>
      <c r="M57" s="3">
        <f t="shared" si="9"/>
        <v>343580.1647577323</v>
      </c>
      <c r="N57" s="6">
        <f t="shared" si="3"/>
        <v>50388.614943022258</v>
      </c>
    </row>
    <row r="58" spans="1:14" x14ac:dyDescent="0.25">
      <c r="A58">
        <v>57</v>
      </c>
      <c r="B58" s="3">
        <f t="shared" si="4"/>
        <v>16796.20498100742</v>
      </c>
      <c r="C58" s="3">
        <v>14324.160732178749</v>
      </c>
      <c r="D58" s="3">
        <v>2472.0442488286726</v>
      </c>
      <c r="E58" s="3">
        <f t="shared" si="5"/>
        <v>232880.26415068851</v>
      </c>
      <c r="F58" s="3">
        <f t="shared" si="6"/>
        <v>16796.20498100742</v>
      </c>
      <c r="G58" s="3">
        <v>13902.889283984727</v>
      </c>
      <c r="H58" s="3">
        <v>2893.3156970226942</v>
      </c>
      <c r="I58" s="3">
        <f t="shared" si="7"/>
        <v>275428.68041828467</v>
      </c>
      <c r="J58" s="3">
        <f t="shared" si="8"/>
        <v>16796.20498100742</v>
      </c>
      <c r="K58" s="3">
        <v>13360.403333430098</v>
      </c>
      <c r="L58" s="3">
        <v>3435.8016475773229</v>
      </c>
      <c r="M58" s="3">
        <f t="shared" si="9"/>
        <v>330219.76142430218</v>
      </c>
      <c r="N58" s="6">
        <f t="shared" si="3"/>
        <v>50388.614943022258</v>
      </c>
    </row>
    <row r="59" spans="1:14" x14ac:dyDescent="0.25">
      <c r="A59">
        <v>58</v>
      </c>
      <c r="B59" s="3">
        <f t="shared" si="4"/>
        <v>16796.20498100742</v>
      </c>
      <c r="C59" s="3">
        <v>14467.402339500535</v>
      </c>
      <c r="D59" s="3">
        <v>2328.8026415068853</v>
      </c>
      <c r="E59" s="3">
        <f t="shared" si="5"/>
        <v>218412.86181118799</v>
      </c>
      <c r="F59" s="3">
        <f t="shared" si="6"/>
        <v>16796.20498100742</v>
      </c>
      <c r="G59" s="3">
        <v>14041.918176824573</v>
      </c>
      <c r="H59" s="3">
        <v>2754.2868041828469</v>
      </c>
      <c r="I59" s="3">
        <f t="shared" si="7"/>
        <v>261386.76224146009</v>
      </c>
      <c r="J59" s="3">
        <f t="shared" si="8"/>
        <v>16796.20498100742</v>
      </c>
      <c r="K59" s="3">
        <v>13494.007366764399</v>
      </c>
      <c r="L59" s="3">
        <v>3302.1976142430217</v>
      </c>
      <c r="M59" s="3">
        <f t="shared" si="9"/>
        <v>316725.75405753776</v>
      </c>
      <c r="N59" s="6">
        <f t="shared" si="3"/>
        <v>50388.614943022258</v>
      </c>
    </row>
    <row r="60" spans="1:14" x14ac:dyDescent="0.25">
      <c r="A60">
        <v>59</v>
      </c>
      <c r="B60" s="3">
        <f t="shared" si="4"/>
        <v>16796.20498100742</v>
      </c>
      <c r="C60" s="3">
        <v>14612.076362895541</v>
      </c>
      <c r="D60" s="3">
        <v>2184.1286181118799</v>
      </c>
      <c r="E60" s="3">
        <f t="shared" si="5"/>
        <v>203800.78544829244</v>
      </c>
      <c r="F60" s="3">
        <f t="shared" si="6"/>
        <v>16796.20498100742</v>
      </c>
      <c r="G60" s="3">
        <v>14182.33735859282</v>
      </c>
      <c r="H60" s="3">
        <v>2613.8676224146011</v>
      </c>
      <c r="I60" s="3">
        <f t="shared" si="7"/>
        <v>247204.42488286726</v>
      </c>
      <c r="J60" s="3">
        <f t="shared" si="8"/>
        <v>16796.20498100742</v>
      </c>
      <c r="K60" s="3">
        <v>13628.947440432043</v>
      </c>
      <c r="L60" s="3">
        <v>3167.2575405753778</v>
      </c>
      <c r="M60" s="3">
        <f t="shared" si="9"/>
        <v>303096.80661710573</v>
      </c>
      <c r="N60" s="6">
        <f t="shared" si="3"/>
        <v>50388.614943022258</v>
      </c>
    </row>
    <row r="61" spans="1:14" x14ac:dyDescent="0.25">
      <c r="A61">
        <v>60</v>
      </c>
      <c r="B61" s="3">
        <f t="shared" si="4"/>
        <v>16796.20498100742</v>
      </c>
      <c r="C61" s="3">
        <v>14758.197126524496</v>
      </c>
      <c r="D61" s="3">
        <v>2038.0078544829246</v>
      </c>
      <c r="E61" s="3">
        <f t="shared" si="5"/>
        <v>189042.58832176795</v>
      </c>
      <c r="F61" s="3">
        <f t="shared" si="6"/>
        <v>16796.20498100742</v>
      </c>
      <c r="G61" s="3">
        <v>14324.160732178749</v>
      </c>
      <c r="H61" s="3">
        <v>2472.0442488286726</v>
      </c>
      <c r="I61" s="3">
        <f t="shared" si="7"/>
        <v>232880.26415068851</v>
      </c>
      <c r="J61" s="3">
        <f t="shared" si="8"/>
        <v>16796.20498100742</v>
      </c>
      <c r="K61" s="3">
        <v>13765.236914836363</v>
      </c>
      <c r="L61" s="3">
        <v>3030.9680661710572</v>
      </c>
      <c r="M61" s="3">
        <f t="shared" si="9"/>
        <v>289331.56970226939</v>
      </c>
      <c r="N61" s="6">
        <f t="shared" si="3"/>
        <v>50388.614943022258</v>
      </c>
    </row>
    <row r="62" spans="1:14" x14ac:dyDescent="0.25">
      <c r="A62">
        <v>61</v>
      </c>
      <c r="B62" s="3">
        <f t="shared" si="4"/>
        <v>16796.20498100742</v>
      </c>
      <c r="C62" s="3">
        <v>14905.77909778974</v>
      </c>
      <c r="D62" s="3">
        <v>1890.4258832176795</v>
      </c>
      <c r="E62" s="3">
        <f t="shared" si="5"/>
        <v>174136.8092239782</v>
      </c>
      <c r="F62" s="3">
        <f t="shared" si="6"/>
        <v>16796.20498100742</v>
      </c>
      <c r="G62" s="3">
        <v>14467.402339500535</v>
      </c>
      <c r="H62" s="3">
        <v>2328.8026415068853</v>
      </c>
      <c r="I62" s="3">
        <f t="shared" si="7"/>
        <v>218412.86181118799</v>
      </c>
      <c r="J62" s="3">
        <f t="shared" si="8"/>
        <v>16796.20498100742</v>
      </c>
      <c r="K62" s="3">
        <v>13902.889283984727</v>
      </c>
      <c r="L62" s="3">
        <v>2893.3156970226942</v>
      </c>
      <c r="M62" s="3">
        <f t="shared" si="9"/>
        <v>275428.68041828467</v>
      </c>
      <c r="N62" s="6">
        <f t="shared" si="3"/>
        <v>50388.614943022258</v>
      </c>
    </row>
    <row r="63" spans="1:14" x14ac:dyDescent="0.25">
      <c r="A63">
        <v>62</v>
      </c>
      <c r="B63" s="3">
        <f t="shared" si="4"/>
        <v>16796.20498100742</v>
      </c>
      <c r="C63" s="3">
        <v>15054.836888767639</v>
      </c>
      <c r="D63" s="3">
        <v>1741.3680922397821</v>
      </c>
      <c r="E63" s="3">
        <f t="shared" si="5"/>
        <v>159081.97233521056</v>
      </c>
      <c r="F63" s="3">
        <f t="shared" si="6"/>
        <v>16796.20498100742</v>
      </c>
      <c r="G63" s="3">
        <v>14612.076362895541</v>
      </c>
      <c r="H63" s="3">
        <v>2184.1286181118799</v>
      </c>
      <c r="I63" s="3">
        <f t="shared" si="7"/>
        <v>203800.78544829244</v>
      </c>
      <c r="J63" s="3">
        <f t="shared" si="8"/>
        <v>16796.20498100742</v>
      </c>
      <c r="K63" s="3">
        <v>14041.918176824573</v>
      </c>
      <c r="L63" s="3">
        <v>2754.2868041828469</v>
      </c>
      <c r="M63" s="3">
        <f t="shared" si="9"/>
        <v>261386.76224146009</v>
      </c>
      <c r="N63" s="6">
        <f t="shared" si="3"/>
        <v>50388.614943022258</v>
      </c>
    </row>
    <row r="64" spans="1:14" x14ac:dyDescent="0.25">
      <c r="A64">
        <v>63</v>
      </c>
      <c r="B64" s="3">
        <f t="shared" si="4"/>
        <v>16796.20498100742</v>
      </c>
      <c r="C64" s="3">
        <v>15205.385257655314</v>
      </c>
      <c r="D64" s="3">
        <v>1590.8197233521057</v>
      </c>
      <c r="E64" s="3">
        <f t="shared" si="5"/>
        <v>143876.58707755525</v>
      </c>
      <c r="F64" s="3">
        <f t="shared" si="6"/>
        <v>16796.20498100742</v>
      </c>
      <c r="G64" s="3">
        <v>14758.197126524496</v>
      </c>
      <c r="H64" s="3">
        <v>2038.0078544829246</v>
      </c>
      <c r="I64" s="3">
        <f t="shared" si="7"/>
        <v>189042.58832176795</v>
      </c>
      <c r="J64" s="3">
        <f t="shared" si="8"/>
        <v>16796.20498100742</v>
      </c>
      <c r="K64" s="3">
        <v>14182.33735859282</v>
      </c>
      <c r="L64" s="3">
        <v>2613.8676224146011</v>
      </c>
      <c r="M64" s="3">
        <f t="shared" si="9"/>
        <v>247204.42488286726</v>
      </c>
      <c r="N64" s="6">
        <f t="shared" si="3"/>
        <v>50388.614943022258</v>
      </c>
    </row>
    <row r="65" spans="1:14" x14ac:dyDescent="0.25">
      <c r="A65">
        <v>64</v>
      </c>
      <c r="B65" s="3">
        <f t="shared" si="4"/>
        <v>16796.20498100742</v>
      </c>
      <c r="C65" s="3">
        <v>15357.439110231868</v>
      </c>
      <c r="D65" s="3">
        <v>1438.7658707755525</v>
      </c>
      <c r="E65" s="3">
        <f t="shared" si="5"/>
        <v>128519.14796732338</v>
      </c>
      <c r="F65" s="3">
        <f t="shared" si="6"/>
        <v>16796.20498100742</v>
      </c>
      <c r="G65" s="3">
        <v>14905.77909778974</v>
      </c>
      <c r="H65" s="3">
        <v>1890.4258832176795</v>
      </c>
      <c r="I65" s="3">
        <f t="shared" si="7"/>
        <v>174136.8092239782</v>
      </c>
      <c r="J65" s="3">
        <f t="shared" si="8"/>
        <v>16796.20498100742</v>
      </c>
      <c r="K65" s="3">
        <v>14324.160732178749</v>
      </c>
      <c r="L65" s="3">
        <v>2472.0442488286726</v>
      </c>
      <c r="M65" s="3">
        <f t="shared" si="9"/>
        <v>232880.26415068851</v>
      </c>
      <c r="N65" s="6">
        <f t="shared" si="3"/>
        <v>50388.614943022258</v>
      </c>
    </row>
    <row r="66" spans="1:14" x14ac:dyDescent="0.25">
      <c r="A66">
        <v>65</v>
      </c>
      <c r="B66" s="3">
        <f t="shared" si="4"/>
        <v>16796.20498100742</v>
      </c>
      <c r="C66" s="3">
        <v>15511.013501334186</v>
      </c>
      <c r="D66" s="3">
        <v>1285.191479673234</v>
      </c>
      <c r="E66" s="3">
        <f t="shared" si="5"/>
        <v>113008.13446598919</v>
      </c>
      <c r="F66" s="3">
        <f t="shared" si="6"/>
        <v>16796.20498100742</v>
      </c>
      <c r="G66" s="3">
        <v>15054.836888767639</v>
      </c>
      <c r="H66" s="3">
        <v>1741.3680922397821</v>
      </c>
      <c r="I66" s="3">
        <f t="shared" si="7"/>
        <v>159081.97233521056</v>
      </c>
      <c r="J66" s="3">
        <f t="shared" si="8"/>
        <v>16796.20498100742</v>
      </c>
      <c r="K66" s="3">
        <v>14467.402339500535</v>
      </c>
      <c r="L66" s="3">
        <v>2328.8026415068853</v>
      </c>
      <c r="M66" s="3">
        <f t="shared" si="9"/>
        <v>218412.86181118799</v>
      </c>
      <c r="N66" s="6">
        <f t="shared" si="3"/>
        <v>50388.614943022258</v>
      </c>
    </row>
    <row r="67" spans="1:14" x14ac:dyDescent="0.25">
      <c r="A67">
        <v>66</v>
      </c>
      <c r="B67" s="3">
        <f t="shared" si="4"/>
        <v>16796.20498100742</v>
      </c>
      <c r="C67" s="3">
        <v>15666.123636347529</v>
      </c>
      <c r="D67" s="3">
        <v>1130.081344659892</v>
      </c>
      <c r="E67" s="3">
        <f t="shared" si="5"/>
        <v>97342.010829641658</v>
      </c>
      <c r="F67" s="3">
        <f t="shared" si="6"/>
        <v>16796.20498100742</v>
      </c>
      <c r="G67" s="3">
        <v>15205.385257655314</v>
      </c>
      <c r="H67" s="3">
        <v>1590.8197233521057</v>
      </c>
      <c r="I67" s="3">
        <f t="shared" si="7"/>
        <v>143876.58707755525</v>
      </c>
      <c r="J67" s="3">
        <f t="shared" si="8"/>
        <v>16796.20498100742</v>
      </c>
      <c r="K67" s="3">
        <v>14612.076362895541</v>
      </c>
      <c r="L67" s="3">
        <v>2184.1286181118799</v>
      </c>
      <c r="M67" s="3">
        <f t="shared" si="9"/>
        <v>203800.78544829244</v>
      </c>
      <c r="N67" s="6">
        <f t="shared" ref="N67:N80" si="10">J67+F67+B67</f>
        <v>50388.614943022258</v>
      </c>
    </row>
    <row r="68" spans="1:14" x14ac:dyDescent="0.25">
      <c r="A68">
        <v>67</v>
      </c>
      <c r="B68" s="3">
        <f t="shared" si="4"/>
        <v>16796.20498100742</v>
      </c>
      <c r="C68" s="3">
        <v>15822.784872711003</v>
      </c>
      <c r="D68" s="3">
        <v>973.42010829641663</v>
      </c>
      <c r="E68" s="3">
        <f t="shared" si="5"/>
        <v>81519.225956930663</v>
      </c>
      <c r="F68" s="3">
        <f t="shared" si="6"/>
        <v>16796.20498100742</v>
      </c>
      <c r="G68" s="3">
        <v>15357.439110231868</v>
      </c>
      <c r="H68" s="3">
        <v>1438.7658707755525</v>
      </c>
      <c r="I68" s="3">
        <f t="shared" si="7"/>
        <v>128519.14796732338</v>
      </c>
      <c r="J68" s="3">
        <f t="shared" si="8"/>
        <v>16796.20498100742</v>
      </c>
      <c r="K68" s="3">
        <v>14758.197126524496</v>
      </c>
      <c r="L68" s="3">
        <v>2038.0078544829246</v>
      </c>
      <c r="M68" s="3">
        <f t="shared" si="9"/>
        <v>189042.58832176795</v>
      </c>
      <c r="N68" s="6">
        <f t="shared" si="10"/>
        <v>50388.614943022258</v>
      </c>
    </row>
    <row r="69" spans="1:14" x14ac:dyDescent="0.25">
      <c r="A69">
        <v>68</v>
      </c>
      <c r="B69" s="3">
        <f t="shared" si="4"/>
        <v>16796.20498100742</v>
      </c>
      <c r="C69" s="3">
        <v>15981.012721438114</v>
      </c>
      <c r="D69" s="3">
        <v>815.19225956930666</v>
      </c>
      <c r="E69" s="3">
        <f t="shared" si="5"/>
        <v>65538.213235492556</v>
      </c>
      <c r="F69" s="3">
        <f t="shared" si="6"/>
        <v>16796.20498100742</v>
      </c>
      <c r="G69" s="3">
        <v>15511.013501334186</v>
      </c>
      <c r="H69" s="3">
        <v>1285.191479673234</v>
      </c>
      <c r="I69" s="3">
        <f t="shared" si="7"/>
        <v>113008.13446598919</v>
      </c>
      <c r="J69" s="3">
        <f t="shared" si="8"/>
        <v>16796.20498100742</v>
      </c>
      <c r="K69" s="3">
        <v>14905.77909778974</v>
      </c>
      <c r="L69" s="3">
        <v>1890.4258832176795</v>
      </c>
      <c r="M69" s="3">
        <f t="shared" si="9"/>
        <v>174136.8092239782</v>
      </c>
      <c r="N69" s="6">
        <f t="shared" si="10"/>
        <v>50388.614943022258</v>
      </c>
    </row>
    <row r="70" spans="1:14" x14ac:dyDescent="0.25">
      <c r="A70">
        <v>69</v>
      </c>
      <c r="B70" s="3">
        <f t="shared" si="4"/>
        <v>16796.20498100742</v>
      </c>
      <c r="C70" s="3">
        <v>16140.822848652495</v>
      </c>
      <c r="D70" s="3">
        <v>655.3821323549256</v>
      </c>
      <c r="E70" s="3">
        <f t="shared" si="5"/>
        <v>49397.390386840059</v>
      </c>
      <c r="F70" s="3">
        <f t="shared" si="6"/>
        <v>16796.20498100742</v>
      </c>
      <c r="G70" s="3">
        <v>15666.123636347529</v>
      </c>
      <c r="H70" s="3">
        <v>1130.081344659892</v>
      </c>
      <c r="I70" s="3">
        <f t="shared" si="7"/>
        <v>97342.010829641658</v>
      </c>
      <c r="J70" s="3">
        <f t="shared" si="8"/>
        <v>16796.20498100742</v>
      </c>
      <c r="K70" s="3">
        <v>15054.836888767639</v>
      </c>
      <c r="L70" s="3">
        <v>1741.3680922397821</v>
      </c>
      <c r="M70" s="3">
        <f t="shared" si="9"/>
        <v>159081.97233521056</v>
      </c>
      <c r="N70" s="6">
        <f t="shared" si="10"/>
        <v>50388.614943022258</v>
      </c>
    </row>
    <row r="71" spans="1:14" x14ac:dyDescent="0.25">
      <c r="A71">
        <v>70</v>
      </c>
      <c r="B71" s="3">
        <f t="shared" si="4"/>
        <v>16796.20498100742</v>
      </c>
      <c r="C71" s="3">
        <v>16302.23107713902</v>
      </c>
      <c r="D71" s="3">
        <v>493.97390386840061</v>
      </c>
      <c r="E71" s="3">
        <f t="shared" si="5"/>
        <v>33095.159309701041</v>
      </c>
      <c r="F71" s="3">
        <f t="shared" si="6"/>
        <v>16796.20498100742</v>
      </c>
      <c r="G71" s="3">
        <v>15822.784872711003</v>
      </c>
      <c r="H71" s="3">
        <v>973.42010829641663</v>
      </c>
      <c r="I71" s="3">
        <f t="shared" si="7"/>
        <v>81519.225956930663</v>
      </c>
      <c r="J71" s="3">
        <f t="shared" si="8"/>
        <v>16796.20498100742</v>
      </c>
      <c r="K71" s="3">
        <v>15205.385257655314</v>
      </c>
      <c r="L71" s="3">
        <v>1590.8197233521057</v>
      </c>
      <c r="M71" s="3">
        <f t="shared" si="9"/>
        <v>143876.58707755525</v>
      </c>
      <c r="N71" s="6">
        <f t="shared" si="10"/>
        <v>50388.614943022258</v>
      </c>
    </row>
    <row r="72" spans="1:14" x14ac:dyDescent="0.25">
      <c r="A72">
        <v>71</v>
      </c>
      <c r="B72" s="3">
        <f t="shared" si="4"/>
        <v>16796.20498100742</v>
      </c>
      <c r="C72" s="3">
        <v>16465.253387910408</v>
      </c>
      <c r="D72" s="3">
        <v>330.9515930970104</v>
      </c>
      <c r="E72" s="3">
        <f t="shared" si="5"/>
        <v>16629.905921790632</v>
      </c>
      <c r="F72" s="3">
        <f t="shared" si="6"/>
        <v>16796.20498100742</v>
      </c>
      <c r="G72" s="3">
        <v>15981.012721438114</v>
      </c>
      <c r="H72" s="3">
        <v>815.19225956930666</v>
      </c>
      <c r="I72" s="3">
        <f t="shared" si="7"/>
        <v>65538.213235492556</v>
      </c>
      <c r="J72" s="3">
        <f t="shared" si="8"/>
        <v>16796.20498100742</v>
      </c>
      <c r="K72" s="3">
        <v>15357.439110231868</v>
      </c>
      <c r="L72" s="3">
        <v>1438.7658707755525</v>
      </c>
      <c r="M72" s="3">
        <f t="shared" si="9"/>
        <v>128519.14796732338</v>
      </c>
      <c r="N72" s="6">
        <f t="shared" si="10"/>
        <v>50388.614943022258</v>
      </c>
    </row>
    <row r="73" spans="1:14" x14ac:dyDescent="0.25">
      <c r="A73">
        <v>72</v>
      </c>
      <c r="B73" s="3">
        <f t="shared" si="4"/>
        <v>16796.20498100742</v>
      </c>
      <c r="C73" s="3">
        <v>16629.905921789516</v>
      </c>
      <c r="D73" s="3">
        <v>166.29905921790632</v>
      </c>
      <c r="E73" s="3">
        <f t="shared" si="5"/>
        <v>1.1168594937771559E-9</v>
      </c>
      <c r="F73" s="3">
        <f t="shared" si="6"/>
        <v>16796.20498100742</v>
      </c>
      <c r="G73" s="3">
        <v>16140.822848652495</v>
      </c>
      <c r="H73" s="3">
        <v>655.3821323549256</v>
      </c>
      <c r="I73" s="3">
        <f t="shared" si="7"/>
        <v>49397.390386840059</v>
      </c>
      <c r="J73" s="3">
        <f t="shared" si="8"/>
        <v>16796.20498100742</v>
      </c>
      <c r="K73" s="3">
        <v>15511.013501334186</v>
      </c>
      <c r="L73" s="3">
        <v>1285.191479673234</v>
      </c>
      <c r="M73" s="3">
        <f t="shared" si="9"/>
        <v>113008.13446598919</v>
      </c>
      <c r="N73" s="6">
        <f t="shared" si="10"/>
        <v>50388.614943022258</v>
      </c>
    </row>
    <row r="74" spans="1:14" x14ac:dyDescent="0.25">
      <c r="F74" s="3">
        <f t="shared" si="6"/>
        <v>16796.20498100742</v>
      </c>
      <c r="G74" s="3">
        <v>16302.23107713902</v>
      </c>
      <c r="H74" s="3">
        <v>493.97390386840061</v>
      </c>
      <c r="I74" s="3">
        <f t="shared" si="7"/>
        <v>33095.159309701041</v>
      </c>
      <c r="J74" s="3">
        <f t="shared" si="8"/>
        <v>16796.20498100742</v>
      </c>
      <c r="K74" s="3">
        <v>15666.123636347529</v>
      </c>
      <c r="L74" s="3">
        <v>1130.081344659892</v>
      </c>
      <c r="M74" s="3">
        <f t="shared" si="9"/>
        <v>97342.010829641658</v>
      </c>
      <c r="N74" s="6">
        <f t="shared" si="10"/>
        <v>33592.409962014841</v>
      </c>
    </row>
    <row r="75" spans="1:14" x14ac:dyDescent="0.25">
      <c r="F75" s="3">
        <f t="shared" si="6"/>
        <v>16796.20498100742</v>
      </c>
      <c r="G75" s="3">
        <v>16465.253387910408</v>
      </c>
      <c r="H75" s="3">
        <v>330.9515930970104</v>
      </c>
      <c r="I75" s="3">
        <f t="shared" si="7"/>
        <v>16629.905921790632</v>
      </c>
      <c r="J75" s="3">
        <f t="shared" si="8"/>
        <v>16796.20498100742</v>
      </c>
      <c r="K75" s="3">
        <v>15822.784872711003</v>
      </c>
      <c r="L75" s="3">
        <v>973.42010829641663</v>
      </c>
      <c r="M75" s="3">
        <f t="shared" si="9"/>
        <v>81519.225956930663</v>
      </c>
      <c r="N75" s="6">
        <f t="shared" si="10"/>
        <v>33592.409962014841</v>
      </c>
    </row>
    <row r="76" spans="1:14" x14ac:dyDescent="0.25">
      <c r="F76" s="3">
        <f t="shared" si="6"/>
        <v>16796.20498100742</v>
      </c>
      <c r="G76" s="3">
        <v>16629.905921789516</v>
      </c>
      <c r="H76" s="3">
        <v>166.29905921790632</v>
      </c>
      <c r="I76" s="3">
        <f t="shared" si="7"/>
        <v>1.1168594937771559E-9</v>
      </c>
      <c r="J76" s="3">
        <f t="shared" si="8"/>
        <v>16796.20498100742</v>
      </c>
      <c r="K76" s="3">
        <v>15981.012721438114</v>
      </c>
      <c r="L76" s="3">
        <v>815.19225956930666</v>
      </c>
      <c r="M76" s="3">
        <f t="shared" si="9"/>
        <v>65538.213235492556</v>
      </c>
      <c r="N76" s="6">
        <f t="shared" si="10"/>
        <v>33592.409962014841</v>
      </c>
    </row>
    <row r="77" spans="1:14" x14ac:dyDescent="0.25">
      <c r="J77" s="3">
        <f t="shared" si="8"/>
        <v>16796.20498100742</v>
      </c>
      <c r="K77" s="3">
        <v>16140.822848652495</v>
      </c>
      <c r="L77" s="3">
        <v>655.3821323549256</v>
      </c>
      <c r="M77" s="3">
        <f t="shared" si="9"/>
        <v>49397.390386840059</v>
      </c>
      <c r="N77" s="6">
        <f t="shared" si="10"/>
        <v>16796.20498100742</v>
      </c>
    </row>
    <row r="78" spans="1:14" x14ac:dyDescent="0.25">
      <c r="J78" s="3">
        <f t="shared" si="8"/>
        <v>16796.20498100742</v>
      </c>
      <c r="K78" s="3">
        <v>16302.23107713902</v>
      </c>
      <c r="L78" s="3">
        <v>493.97390386840061</v>
      </c>
      <c r="M78" s="3">
        <f t="shared" si="9"/>
        <v>33095.159309701041</v>
      </c>
      <c r="N78" s="6">
        <f t="shared" si="10"/>
        <v>16796.20498100742</v>
      </c>
    </row>
    <row r="79" spans="1:14" x14ac:dyDescent="0.25">
      <c r="J79" s="3">
        <f t="shared" si="8"/>
        <v>16796.20498100742</v>
      </c>
      <c r="K79" s="3">
        <v>16465.253387910408</v>
      </c>
      <c r="L79" s="3">
        <v>330.9515930970104</v>
      </c>
      <c r="M79" s="3">
        <f t="shared" si="9"/>
        <v>16629.905921790632</v>
      </c>
      <c r="N79" s="6">
        <f t="shared" si="10"/>
        <v>16796.20498100742</v>
      </c>
    </row>
    <row r="80" spans="1:14" x14ac:dyDescent="0.25">
      <c r="J80" s="3">
        <f t="shared" si="8"/>
        <v>16796.20498100742</v>
      </c>
      <c r="K80" s="3">
        <v>16629.905921789516</v>
      </c>
      <c r="L80" s="3">
        <v>166.29905921790632</v>
      </c>
      <c r="M80" s="3">
        <f t="shared" si="9"/>
        <v>1.1168594937771559E-9</v>
      </c>
      <c r="N80" s="6">
        <f t="shared" si="10"/>
        <v>16796.20498100742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opLeftCell="A25" workbookViewId="0">
      <selection activeCell="E37" sqref="E37"/>
    </sheetView>
  </sheetViews>
  <sheetFormatPr baseColWidth="10" defaultColWidth="8.85546875" defaultRowHeight="15" x14ac:dyDescent="0.25"/>
  <cols>
    <col min="1" max="1" width="5.42578125" bestFit="1" customWidth="1"/>
    <col min="2" max="2" width="29.85546875" style="3" bestFit="1" customWidth="1"/>
    <col min="3" max="3" width="33.85546875" style="3" bestFit="1" customWidth="1"/>
    <col min="4" max="4" width="20.5703125" style="3" bestFit="1" customWidth="1"/>
    <col min="5" max="5" width="16.42578125" style="3" bestFit="1" customWidth="1"/>
    <col min="6" max="7" width="13.85546875" bestFit="1" customWidth="1"/>
  </cols>
  <sheetData>
    <row r="1" spans="1:7" ht="37.5" customHeight="1" x14ac:dyDescent="0.25">
      <c r="A1" s="1" t="s">
        <v>15</v>
      </c>
      <c r="B1" s="2" t="s">
        <v>40</v>
      </c>
      <c r="C1" s="18" t="s">
        <v>57</v>
      </c>
      <c r="D1" s="2" t="s">
        <v>41</v>
      </c>
      <c r="E1" s="2" t="s">
        <v>42</v>
      </c>
      <c r="F1" s="9" t="s">
        <v>55</v>
      </c>
      <c r="G1" s="9" t="s">
        <v>56</v>
      </c>
    </row>
    <row r="2" spans="1:7" x14ac:dyDescent="0.25">
      <c r="A2">
        <v>1</v>
      </c>
      <c r="B2" s="3">
        <f>Revenus!E2</f>
        <v>0</v>
      </c>
      <c r="C2" s="3">
        <f>Charges!J2+'Leasing (2)'!N2+F2+G2</f>
        <v>16250.740399999999</v>
      </c>
      <c r="D2" s="3">
        <f>B2-C2</f>
        <v>-16250.740399999999</v>
      </c>
      <c r="E2" s="3">
        <f>300000+D2</f>
        <v>283749.25959999999</v>
      </c>
    </row>
    <row r="3" spans="1:7" x14ac:dyDescent="0.25">
      <c r="A3">
        <v>2</v>
      </c>
      <c r="B3" s="3">
        <f>Revenus!E3</f>
        <v>0</v>
      </c>
      <c r="C3" s="3">
        <f>Charges!J3+'Leasing (2)'!N3+F3+G3</f>
        <v>65250.740400000002</v>
      </c>
      <c r="D3" s="3">
        <f t="shared" ref="D3:D66" si="0">B3-C3</f>
        <v>-65250.740400000002</v>
      </c>
      <c r="E3" s="3">
        <f>E2+D3</f>
        <v>218498.51919999998</v>
      </c>
    </row>
    <row r="4" spans="1:7" x14ac:dyDescent="0.25">
      <c r="A4">
        <v>3</v>
      </c>
      <c r="B4" s="3">
        <f>Revenus!E4</f>
        <v>38178</v>
      </c>
      <c r="C4" s="3">
        <f>Charges!J4+'Leasing (2)'!N4+F4+G4</f>
        <v>17650.740399999999</v>
      </c>
      <c r="D4" s="3">
        <f t="shared" si="0"/>
        <v>20527.259600000001</v>
      </c>
      <c r="E4" s="3">
        <f>E3+D4</f>
        <v>239025.77879999997</v>
      </c>
    </row>
    <row r="5" spans="1:7" x14ac:dyDescent="0.25">
      <c r="A5">
        <v>4</v>
      </c>
      <c r="B5" s="3">
        <f>Revenus!E5</f>
        <v>38178</v>
      </c>
      <c r="C5" s="3">
        <f>Charges!J5+'Leasing (2)'!N5+F5+G5</f>
        <v>25201.480799999998</v>
      </c>
      <c r="D5" s="3">
        <f t="shared" si="0"/>
        <v>12976.519200000002</v>
      </c>
      <c r="E5" s="3">
        <f t="shared" ref="E5:E68" si="1">E4+D5</f>
        <v>252002.29799999998</v>
      </c>
    </row>
    <row r="6" spans="1:7" x14ac:dyDescent="0.25">
      <c r="A6">
        <v>5</v>
      </c>
      <c r="B6" s="3">
        <f>Revenus!E6</f>
        <v>38178</v>
      </c>
      <c r="C6" s="3">
        <f>Charges!J6+'Leasing (2)'!N6+F6+G6</f>
        <v>74201.480800000005</v>
      </c>
      <c r="D6" s="3">
        <f t="shared" si="0"/>
        <v>-36023.480800000005</v>
      </c>
      <c r="E6" s="3">
        <f t="shared" si="1"/>
        <v>215978.81719999999</v>
      </c>
    </row>
    <row r="7" spans="1:7" x14ac:dyDescent="0.25">
      <c r="A7">
        <v>6</v>
      </c>
      <c r="B7" s="3">
        <f>Revenus!E7</f>
        <v>76356</v>
      </c>
      <c r="C7" s="3">
        <f>Charges!J7+'Leasing (2)'!N7+F7+G7</f>
        <v>26601.480799999998</v>
      </c>
      <c r="D7" s="3">
        <f t="shared" si="0"/>
        <v>49754.519200000002</v>
      </c>
      <c r="E7" s="3">
        <f t="shared" si="1"/>
        <v>265733.33639999997</v>
      </c>
    </row>
    <row r="8" spans="1:7" x14ac:dyDescent="0.25">
      <c r="A8">
        <v>7</v>
      </c>
      <c r="B8" s="3">
        <f>Revenus!E8</f>
        <v>76356</v>
      </c>
      <c r="C8" s="3">
        <f>Charges!J8+'Leasing (2)'!N8+F8+G8</f>
        <v>26601.480799999998</v>
      </c>
      <c r="D8" s="3">
        <f t="shared" si="0"/>
        <v>49754.519200000002</v>
      </c>
      <c r="E8" s="3">
        <f t="shared" si="1"/>
        <v>315487.85559999995</v>
      </c>
    </row>
    <row r="9" spans="1:7" x14ac:dyDescent="0.25">
      <c r="A9">
        <v>8</v>
      </c>
      <c r="B9" s="3">
        <f>Revenus!E9</f>
        <v>76356</v>
      </c>
      <c r="C9" s="3">
        <f>Charges!J9+'Leasing (2)'!N9+F9+G9</f>
        <v>83152.2212</v>
      </c>
      <c r="D9" s="3">
        <f t="shared" si="0"/>
        <v>-6796.2212</v>
      </c>
      <c r="E9" s="3">
        <f t="shared" si="1"/>
        <v>308691.63439999998</v>
      </c>
    </row>
    <row r="10" spans="1:7" x14ac:dyDescent="0.25">
      <c r="A10">
        <v>9</v>
      </c>
      <c r="B10" s="3">
        <f>Revenus!E10</f>
        <v>114534</v>
      </c>
      <c r="C10" s="3">
        <f>Charges!J10+'Leasing (2)'!N10+F10+G10</f>
        <v>35552.2212</v>
      </c>
      <c r="D10" s="3">
        <f t="shared" si="0"/>
        <v>78981.7788</v>
      </c>
      <c r="E10" s="3">
        <f t="shared" si="1"/>
        <v>387673.41319999995</v>
      </c>
    </row>
    <row r="11" spans="1:7" x14ac:dyDescent="0.25">
      <c r="A11">
        <v>10</v>
      </c>
      <c r="B11" s="3">
        <f>Revenus!E11</f>
        <v>114534</v>
      </c>
      <c r="C11" s="3">
        <f>Charges!J11+'Leasing (2)'!N11+F11+G11</f>
        <v>186567.02919999999</v>
      </c>
      <c r="D11" s="3">
        <f t="shared" si="0"/>
        <v>-72033.02919999999</v>
      </c>
      <c r="E11" s="3">
        <f t="shared" si="1"/>
        <v>315640.38399999996</v>
      </c>
      <c r="F11" s="3">
        <v>151014.80799999999</v>
      </c>
    </row>
    <row r="12" spans="1:7" x14ac:dyDescent="0.25">
      <c r="A12">
        <v>11</v>
      </c>
      <c r="B12" s="3">
        <f>Revenus!E12</f>
        <v>114534</v>
      </c>
      <c r="C12" s="3">
        <f>Charges!J12+'Leasing (2)'!N12+F12+G12</f>
        <v>84552.2212</v>
      </c>
      <c r="D12" s="3">
        <f t="shared" si="0"/>
        <v>29981.7788</v>
      </c>
      <c r="E12" s="3">
        <f t="shared" si="1"/>
        <v>345622.16279999993</v>
      </c>
      <c r="F12" s="3"/>
    </row>
    <row r="13" spans="1:7" x14ac:dyDescent="0.25">
      <c r="A13">
        <v>12</v>
      </c>
      <c r="B13" s="3">
        <f>Revenus!E13</f>
        <v>152712</v>
      </c>
      <c r="C13" s="3">
        <f>Charges!J13+'Leasing (2)'!N13+F13+G13</f>
        <v>36952.2212</v>
      </c>
      <c r="D13" s="3">
        <f t="shared" si="0"/>
        <v>115759.7788</v>
      </c>
      <c r="E13" s="3">
        <f t="shared" si="1"/>
        <v>461381.9415999999</v>
      </c>
      <c r="F13" s="3"/>
    </row>
    <row r="14" spans="1:7" x14ac:dyDescent="0.25">
      <c r="A14">
        <v>13</v>
      </c>
      <c r="B14" s="3">
        <f>Revenus!E14</f>
        <v>152712</v>
      </c>
      <c r="C14" s="3">
        <f>Charges!J14+'Leasing (2)'!N14+F14+G14</f>
        <v>51397.685781007422</v>
      </c>
      <c r="D14" s="3">
        <f t="shared" si="0"/>
        <v>101314.31421899257</v>
      </c>
      <c r="E14" s="3">
        <f t="shared" si="1"/>
        <v>562696.2558189925</v>
      </c>
    </row>
    <row r="15" spans="1:7" x14ac:dyDescent="0.25">
      <c r="A15">
        <v>14</v>
      </c>
      <c r="B15" s="3">
        <f>Revenus!E15</f>
        <v>152712</v>
      </c>
      <c r="C15" s="3">
        <f>Charges!J15+'Leasing (2)'!N15+F15+G15</f>
        <v>202412.49378100742</v>
      </c>
      <c r="D15" s="3">
        <f t="shared" si="0"/>
        <v>-49700.493781007419</v>
      </c>
      <c r="E15" s="3">
        <f t="shared" si="1"/>
        <v>512995.76203798509</v>
      </c>
      <c r="F15" s="3">
        <v>151014.80799999999</v>
      </c>
    </row>
    <row r="16" spans="1:7" x14ac:dyDescent="0.25">
      <c r="A16">
        <v>15</v>
      </c>
      <c r="B16" s="3">
        <f>Revenus!E16</f>
        <v>152712</v>
      </c>
      <c r="C16" s="3">
        <f>Charges!J16+'Leasing (2)'!N16+F16+G16</f>
        <v>100397.68578100743</v>
      </c>
      <c r="D16" s="3">
        <f t="shared" si="0"/>
        <v>52314.314218992571</v>
      </c>
      <c r="E16" s="3">
        <f t="shared" si="1"/>
        <v>565310.07625697763</v>
      </c>
    </row>
    <row r="17" spans="1:7" x14ac:dyDescent="0.25">
      <c r="A17">
        <v>16</v>
      </c>
      <c r="B17" s="3">
        <f>Revenus!E17</f>
        <v>190890</v>
      </c>
      <c r="C17" s="3">
        <f>Charges!J17+'Leasing (2)'!N17+F17+G17</f>
        <v>62043.150362014843</v>
      </c>
      <c r="D17" s="3">
        <f t="shared" si="0"/>
        <v>128846.84963798516</v>
      </c>
      <c r="E17" s="3">
        <f t="shared" si="1"/>
        <v>694156.92589496274</v>
      </c>
    </row>
    <row r="18" spans="1:7" x14ac:dyDescent="0.25">
      <c r="A18">
        <v>17</v>
      </c>
      <c r="B18" s="3">
        <f>Revenus!E18</f>
        <v>190890</v>
      </c>
      <c r="C18" s="3">
        <f>Charges!J18+'Leasing (2)'!N18+F18+G18</f>
        <v>62043.150362014843</v>
      </c>
      <c r="D18" s="3">
        <f t="shared" si="0"/>
        <v>128846.84963798516</v>
      </c>
      <c r="E18" s="3">
        <f t="shared" si="1"/>
        <v>823003.77553294785</v>
      </c>
      <c r="F18" s="3"/>
    </row>
    <row r="19" spans="1:7" x14ac:dyDescent="0.25">
      <c r="A19">
        <v>18</v>
      </c>
      <c r="B19" s="3">
        <f>Revenus!E19</f>
        <v>190890</v>
      </c>
      <c r="C19" s="3">
        <f>Charges!J19+'Leasing (2)'!N19+F19+G19</f>
        <v>213057.95836201485</v>
      </c>
      <c r="D19" s="3">
        <f t="shared" si="0"/>
        <v>-22167.958362014848</v>
      </c>
      <c r="E19" s="3">
        <f t="shared" si="1"/>
        <v>800835.81717093301</v>
      </c>
      <c r="F19" s="3">
        <v>151014.80799999999</v>
      </c>
    </row>
    <row r="20" spans="1:7" x14ac:dyDescent="0.25">
      <c r="A20">
        <v>19</v>
      </c>
      <c r="B20" s="3">
        <f>Revenus!E20</f>
        <v>190890</v>
      </c>
      <c r="C20" s="3">
        <f>Charges!J20+'Leasing (2)'!N20+F20+G20</f>
        <v>715102.38236201485</v>
      </c>
      <c r="D20" s="3">
        <f t="shared" si="0"/>
        <v>-524212.38236201485</v>
      </c>
      <c r="E20" s="3">
        <f t="shared" si="1"/>
        <v>276623.43480891816</v>
      </c>
      <c r="G20" s="3">
        <v>604059.23199999996</v>
      </c>
    </row>
    <row r="21" spans="1:7" x14ac:dyDescent="0.25">
      <c r="A21">
        <v>20</v>
      </c>
      <c r="B21" s="3">
        <f>Revenus!E21</f>
        <v>229068</v>
      </c>
      <c r="C21" s="3">
        <f>Charges!J21+'Leasing (2)'!N21+F21+G21</f>
        <v>72688.614943022258</v>
      </c>
      <c r="D21" s="3">
        <f t="shared" si="0"/>
        <v>156379.38505697774</v>
      </c>
      <c r="E21" s="3">
        <f t="shared" si="1"/>
        <v>433002.8198658959</v>
      </c>
    </row>
    <row r="22" spans="1:7" x14ac:dyDescent="0.25">
      <c r="A22">
        <v>21</v>
      </c>
      <c r="B22" s="3">
        <f>Revenus!E22</f>
        <v>229068</v>
      </c>
      <c r="C22" s="3">
        <f>Charges!J22+'Leasing (2)'!N22+F22+G22</f>
        <v>72688.614943022258</v>
      </c>
      <c r="D22" s="3">
        <f t="shared" si="0"/>
        <v>156379.38505697774</v>
      </c>
      <c r="E22" s="3">
        <f t="shared" si="1"/>
        <v>589382.20492287364</v>
      </c>
    </row>
    <row r="23" spans="1:7" x14ac:dyDescent="0.25">
      <c r="A23">
        <v>22</v>
      </c>
      <c r="B23" s="3">
        <f>Revenus!E23</f>
        <v>229068</v>
      </c>
      <c r="C23" s="3">
        <f>Charges!J23+'Leasing (2)'!N23+F23+G23</f>
        <v>223703.42294302225</v>
      </c>
      <c r="D23" s="3">
        <f t="shared" si="0"/>
        <v>5364.5770569777524</v>
      </c>
      <c r="E23" s="3">
        <f t="shared" si="1"/>
        <v>594746.78197985142</v>
      </c>
      <c r="F23" s="3">
        <v>151014.80799999999</v>
      </c>
    </row>
    <row r="24" spans="1:7" x14ac:dyDescent="0.25">
      <c r="A24">
        <v>23</v>
      </c>
      <c r="B24" s="3">
        <f>Revenus!E24</f>
        <v>229068</v>
      </c>
      <c r="C24" s="3">
        <f>Charges!J24+'Leasing (2)'!N24+F24+G24</f>
        <v>725747.84694302222</v>
      </c>
      <c r="D24" s="3">
        <f t="shared" si="0"/>
        <v>-496679.84694302222</v>
      </c>
      <c r="E24" s="3">
        <f t="shared" si="1"/>
        <v>98066.935036829207</v>
      </c>
      <c r="G24" s="3">
        <v>604059.23199999996</v>
      </c>
    </row>
    <row r="25" spans="1:7" x14ac:dyDescent="0.25">
      <c r="A25">
        <v>24</v>
      </c>
      <c r="B25" s="3">
        <f>Revenus!E25</f>
        <v>267246</v>
      </c>
      <c r="C25" s="3">
        <f>Charges!J25+'Leasing (2)'!N25+F25+G25</f>
        <v>174088.61494302226</v>
      </c>
      <c r="D25" s="3">
        <f t="shared" si="0"/>
        <v>93157.385056977742</v>
      </c>
      <c r="E25" s="3">
        <f t="shared" si="1"/>
        <v>191224.32009380695</v>
      </c>
      <c r="F25" s="3"/>
    </row>
    <row r="26" spans="1:7" x14ac:dyDescent="0.25">
      <c r="A26">
        <v>25</v>
      </c>
      <c r="B26" s="3">
        <f>Revenus!E26</f>
        <v>267246</v>
      </c>
      <c r="C26" s="3">
        <f>Charges!J26+'Leasing (2)'!N26+F26+G26</f>
        <v>74088.614943022258</v>
      </c>
      <c r="D26" s="3">
        <f t="shared" si="0"/>
        <v>193157.38505697774</v>
      </c>
      <c r="E26" s="3">
        <f t="shared" si="1"/>
        <v>384381.70515078469</v>
      </c>
    </row>
    <row r="27" spans="1:7" x14ac:dyDescent="0.25">
      <c r="A27">
        <v>26</v>
      </c>
      <c r="B27" s="3">
        <f>Revenus!E27</f>
        <v>267246</v>
      </c>
      <c r="C27" s="3">
        <f>Charges!J27+'Leasing (2)'!N27+F27+G27</f>
        <v>225103.42294302225</v>
      </c>
      <c r="D27" s="3">
        <f t="shared" si="0"/>
        <v>42142.577056977752</v>
      </c>
      <c r="E27" s="3">
        <f t="shared" si="1"/>
        <v>426524.28220776247</v>
      </c>
      <c r="F27" s="3">
        <v>151014.80799999999</v>
      </c>
      <c r="G27" s="3"/>
    </row>
    <row r="28" spans="1:7" s="19" customFormat="1" x14ac:dyDescent="0.25">
      <c r="A28" s="19">
        <v>27</v>
      </c>
      <c r="B28" s="20">
        <f>Revenus!E28</f>
        <v>267246</v>
      </c>
      <c r="C28" s="20">
        <f>Charges!J28+'Leasing (2)'!N28+F28+G28</f>
        <v>727147.84694302222</v>
      </c>
      <c r="D28" s="20">
        <f t="shared" si="0"/>
        <v>-459901.84694302222</v>
      </c>
      <c r="E28" s="20">
        <f t="shared" si="1"/>
        <v>-33377.564735259744</v>
      </c>
      <c r="G28" s="20">
        <v>604059.23199999996</v>
      </c>
    </row>
    <row r="29" spans="1:7" x14ac:dyDescent="0.25">
      <c r="A29">
        <v>28</v>
      </c>
      <c r="B29" s="3">
        <f>Revenus!E29</f>
        <v>305424</v>
      </c>
      <c r="C29" s="3">
        <f>Charges!J29+'Leasing (2)'!N29+F29+G29</f>
        <v>75488.614943022258</v>
      </c>
      <c r="D29" s="3">
        <f t="shared" si="0"/>
        <v>229935.38505697774</v>
      </c>
      <c r="E29" s="3">
        <f t="shared" si="1"/>
        <v>196557.820321718</v>
      </c>
      <c r="G29" s="3"/>
    </row>
    <row r="30" spans="1:7" x14ac:dyDescent="0.25">
      <c r="A30">
        <v>29</v>
      </c>
      <c r="B30" s="3">
        <f>Revenus!E30</f>
        <v>305424</v>
      </c>
      <c r="C30" s="3">
        <f>Charges!J30+'Leasing (2)'!N30+F30+G30</f>
        <v>75488.614943022258</v>
      </c>
      <c r="D30" s="3">
        <f t="shared" si="0"/>
        <v>229935.38505697774</v>
      </c>
      <c r="E30" s="3">
        <f t="shared" si="1"/>
        <v>426493.20537869574</v>
      </c>
    </row>
    <row r="31" spans="1:7" x14ac:dyDescent="0.25">
      <c r="A31">
        <v>30</v>
      </c>
      <c r="B31" s="3">
        <f>Revenus!E31</f>
        <v>305424</v>
      </c>
      <c r="C31" s="3">
        <f>Charges!J31+'Leasing (2)'!N31+F31+G31</f>
        <v>226503.42294302225</v>
      </c>
      <c r="D31" s="3">
        <f t="shared" si="0"/>
        <v>78920.577056977752</v>
      </c>
      <c r="E31" s="3">
        <f t="shared" si="1"/>
        <v>505413.78243567352</v>
      </c>
      <c r="F31" s="3">
        <v>151014.80799999999</v>
      </c>
    </row>
    <row r="32" spans="1:7" x14ac:dyDescent="0.25">
      <c r="A32">
        <v>31</v>
      </c>
      <c r="B32" s="3">
        <f>Revenus!E32</f>
        <v>305424</v>
      </c>
      <c r="C32" s="3">
        <f>Charges!J32+'Leasing (2)'!N32+F32+G32</f>
        <v>728547.84694302222</v>
      </c>
      <c r="D32" s="3">
        <f t="shared" si="0"/>
        <v>-423123.84694302222</v>
      </c>
      <c r="E32" s="3">
        <f t="shared" si="1"/>
        <v>82289.935492651304</v>
      </c>
      <c r="F32" s="3"/>
      <c r="G32" s="3">
        <v>604059.23199999996</v>
      </c>
    </row>
    <row r="33" spans="1:7" x14ac:dyDescent="0.25">
      <c r="A33">
        <v>32</v>
      </c>
      <c r="B33" s="3">
        <f>Revenus!E33</f>
        <v>343602</v>
      </c>
      <c r="C33" s="3">
        <f>Charges!J33+'Leasing (2)'!N33+F33+G33</f>
        <v>76888.614943022258</v>
      </c>
      <c r="D33" s="3">
        <f t="shared" si="0"/>
        <v>266713.38505697774</v>
      </c>
      <c r="E33" s="3">
        <f t="shared" si="1"/>
        <v>349003.32054962905</v>
      </c>
    </row>
    <row r="34" spans="1:7" x14ac:dyDescent="0.25">
      <c r="A34">
        <v>33</v>
      </c>
      <c r="B34" s="3">
        <f>Revenus!E34</f>
        <v>343602</v>
      </c>
      <c r="C34" s="3">
        <f>Charges!J34+'Leasing (2)'!N34+F34+G34</f>
        <v>76888.614943022258</v>
      </c>
      <c r="D34" s="3">
        <f t="shared" si="0"/>
        <v>266713.38505697774</v>
      </c>
      <c r="E34" s="3">
        <f>E33+D34</f>
        <v>615716.70560660679</v>
      </c>
      <c r="G34" s="3"/>
    </row>
    <row r="35" spans="1:7" x14ac:dyDescent="0.25">
      <c r="A35">
        <v>34</v>
      </c>
      <c r="B35" s="3">
        <f>Revenus!E35</f>
        <v>343602</v>
      </c>
      <c r="C35" s="3">
        <f>Charges!J35+'Leasing (2)'!N35+F35+G35</f>
        <v>227903.42294302225</v>
      </c>
      <c r="D35" s="3">
        <f t="shared" si="0"/>
        <v>115698.57705697775</v>
      </c>
      <c r="E35" s="3">
        <f t="shared" si="1"/>
        <v>731415.28266358457</v>
      </c>
      <c r="F35" s="3">
        <v>151014.80799999999</v>
      </c>
      <c r="G35" s="3"/>
    </row>
    <row r="36" spans="1:7" x14ac:dyDescent="0.25">
      <c r="A36">
        <v>35</v>
      </c>
      <c r="B36" s="3">
        <f>Revenus!E36</f>
        <v>343602</v>
      </c>
      <c r="C36" s="3">
        <f>Charges!J36+'Leasing (2)'!N36+F36+G36</f>
        <v>729947.84694302222</v>
      </c>
      <c r="D36" s="3">
        <f t="shared" si="0"/>
        <v>-386345.84694302222</v>
      </c>
      <c r="E36" s="3">
        <f t="shared" si="1"/>
        <v>345069.43572056235</v>
      </c>
      <c r="G36" s="3">
        <v>604059.23199999996</v>
      </c>
    </row>
    <row r="37" spans="1:7" x14ac:dyDescent="0.25">
      <c r="A37">
        <v>36</v>
      </c>
      <c r="B37" s="3">
        <f>Revenus!E37</f>
        <v>381780</v>
      </c>
      <c r="C37" s="3">
        <f>Charges!J37+'Leasing (2)'!N37+F37+G37</f>
        <v>178288.61494302226</v>
      </c>
      <c r="D37" s="3">
        <f t="shared" si="0"/>
        <v>203491.38505697774</v>
      </c>
      <c r="E37" s="3">
        <f t="shared" si="1"/>
        <v>548560.8207775401</v>
      </c>
    </row>
    <row r="38" spans="1:7" x14ac:dyDescent="0.25">
      <c r="A38">
        <v>37</v>
      </c>
      <c r="B38" s="3">
        <f>Revenus!E38</f>
        <v>381780</v>
      </c>
      <c r="C38" s="3">
        <f>Charges!J38+'Leasing (2)'!N38+F38+G38</f>
        <v>78288.614943022258</v>
      </c>
      <c r="D38" s="3">
        <f t="shared" si="0"/>
        <v>303491.38505697774</v>
      </c>
      <c r="E38" s="3">
        <f t="shared" si="1"/>
        <v>852052.20583451784</v>
      </c>
      <c r="G38" s="3"/>
    </row>
    <row r="39" spans="1:7" x14ac:dyDescent="0.25">
      <c r="A39">
        <v>38</v>
      </c>
      <c r="B39" s="3">
        <f>Revenus!E39</f>
        <v>381780</v>
      </c>
      <c r="C39" s="3">
        <f>Charges!J39+'Leasing (2)'!N39+F39+G39</f>
        <v>229303.42294302225</v>
      </c>
      <c r="D39" s="3">
        <f t="shared" si="0"/>
        <v>152476.57705697775</v>
      </c>
      <c r="E39" s="3">
        <f t="shared" si="1"/>
        <v>1004528.7828914956</v>
      </c>
      <c r="F39" s="3">
        <v>151014.80799999999</v>
      </c>
    </row>
    <row r="40" spans="1:7" x14ac:dyDescent="0.25">
      <c r="A40">
        <v>39</v>
      </c>
      <c r="B40" s="3">
        <f>Revenus!E40</f>
        <v>381780</v>
      </c>
      <c r="C40" s="3">
        <f>Charges!J40+'Leasing (2)'!N40+F40+G40</f>
        <v>731347.84694302222</v>
      </c>
      <c r="D40" s="3">
        <f t="shared" si="0"/>
        <v>-349567.84694302222</v>
      </c>
      <c r="E40" s="3">
        <f t="shared" si="1"/>
        <v>654960.9359484734</v>
      </c>
      <c r="G40" s="3">
        <v>604059.23199999996</v>
      </c>
    </row>
    <row r="41" spans="1:7" x14ac:dyDescent="0.25">
      <c r="A41">
        <v>40</v>
      </c>
      <c r="B41" s="3">
        <f>Revenus!E41</f>
        <v>419958</v>
      </c>
      <c r="C41" s="3">
        <f>Charges!J41+'Leasing (2)'!N41+F41+G41</f>
        <v>79688.614943022258</v>
      </c>
      <c r="D41" s="3">
        <f t="shared" si="0"/>
        <v>340269.38505697774</v>
      </c>
      <c r="E41" s="3">
        <f t="shared" si="1"/>
        <v>995230.32100545114</v>
      </c>
    </row>
    <row r="42" spans="1:7" x14ac:dyDescent="0.25">
      <c r="A42">
        <v>41</v>
      </c>
      <c r="B42" s="3">
        <f>Revenus!E42</f>
        <v>419958</v>
      </c>
      <c r="C42" s="3">
        <f>Charges!J42+'Leasing (2)'!N42+F42+G42</f>
        <v>79688.614943022258</v>
      </c>
      <c r="D42" s="3">
        <f t="shared" si="0"/>
        <v>340269.38505697774</v>
      </c>
      <c r="E42" s="3">
        <f t="shared" si="1"/>
        <v>1335499.7060624289</v>
      </c>
    </row>
    <row r="43" spans="1:7" x14ac:dyDescent="0.25">
      <c r="A43">
        <v>42</v>
      </c>
      <c r="B43" s="3">
        <f>Revenus!E43</f>
        <v>419958</v>
      </c>
      <c r="C43" s="3">
        <f>Charges!J43+'Leasing (2)'!N43+F43+G43</f>
        <v>230703.42294302225</v>
      </c>
      <c r="D43" s="3">
        <f t="shared" si="0"/>
        <v>189254.57705697775</v>
      </c>
      <c r="E43" s="3">
        <f t="shared" si="1"/>
        <v>1524754.2831194066</v>
      </c>
      <c r="F43" s="3">
        <v>151014.80799999999</v>
      </c>
    </row>
    <row r="44" spans="1:7" x14ac:dyDescent="0.25">
      <c r="A44">
        <v>43</v>
      </c>
      <c r="B44" s="3">
        <f>Revenus!E44</f>
        <v>419958</v>
      </c>
      <c r="C44" s="3">
        <f>Charges!J44+'Leasing (2)'!N44+F44+G44</f>
        <v>732747.84694302222</v>
      </c>
      <c r="D44" s="3">
        <f t="shared" si="0"/>
        <v>-312789.84694302222</v>
      </c>
      <c r="E44" s="3">
        <f t="shared" si="1"/>
        <v>1211964.4361763843</v>
      </c>
      <c r="G44" s="3">
        <v>604059.23199999996</v>
      </c>
    </row>
    <row r="45" spans="1:7" x14ac:dyDescent="0.25">
      <c r="A45">
        <v>44</v>
      </c>
      <c r="B45" s="3">
        <f>Revenus!E45</f>
        <v>458136</v>
      </c>
      <c r="C45" s="3">
        <f>Charges!J45+'Leasing (2)'!N45+F45+G45</f>
        <v>81088.614943022258</v>
      </c>
      <c r="D45" s="3">
        <f t="shared" si="0"/>
        <v>377047.38505697774</v>
      </c>
      <c r="E45" s="3">
        <f t="shared" si="1"/>
        <v>1589011.821233362</v>
      </c>
      <c r="G45" s="3"/>
    </row>
    <row r="46" spans="1:7" x14ac:dyDescent="0.25">
      <c r="A46">
        <v>45</v>
      </c>
      <c r="B46" s="3">
        <f>Revenus!E46</f>
        <v>458136</v>
      </c>
      <c r="C46" s="3">
        <f>Charges!J46+'Leasing (2)'!N46+F46+G46</f>
        <v>81088.614943022258</v>
      </c>
      <c r="D46" s="3">
        <f t="shared" si="0"/>
        <v>377047.38505697774</v>
      </c>
      <c r="E46" s="3">
        <f t="shared" si="1"/>
        <v>1966059.2062903396</v>
      </c>
      <c r="F46" s="3"/>
      <c r="G46" s="3"/>
    </row>
    <row r="47" spans="1:7" x14ac:dyDescent="0.25">
      <c r="A47">
        <v>46</v>
      </c>
      <c r="B47" s="3">
        <f>Revenus!E47</f>
        <v>458136</v>
      </c>
      <c r="C47" s="3">
        <f>Charges!J47+'Leasing (2)'!N47+F47+G47</f>
        <v>232103.42294302225</v>
      </c>
      <c r="D47" s="3">
        <f t="shared" si="0"/>
        <v>226032.57705697775</v>
      </c>
      <c r="E47" s="3">
        <f t="shared" si="1"/>
        <v>2192091.7833473175</v>
      </c>
      <c r="F47" s="3">
        <v>151014.80799999999</v>
      </c>
      <c r="G47" s="3"/>
    </row>
    <row r="48" spans="1:7" x14ac:dyDescent="0.25">
      <c r="A48">
        <v>47</v>
      </c>
      <c r="B48" s="3">
        <f>Revenus!E48</f>
        <v>458136</v>
      </c>
      <c r="C48" s="3">
        <f>Charges!J48+'Leasing (2)'!N48+F48+G48</f>
        <v>734147.84694302222</v>
      </c>
      <c r="D48" s="3">
        <f t="shared" si="0"/>
        <v>-276011.84694302222</v>
      </c>
      <c r="E48" s="3">
        <f t="shared" si="1"/>
        <v>1916079.9364042953</v>
      </c>
      <c r="G48" s="3">
        <v>604059.23199999996</v>
      </c>
    </row>
    <row r="49" spans="1:7" x14ac:dyDescent="0.25">
      <c r="A49">
        <v>48</v>
      </c>
      <c r="B49" s="3">
        <f>Revenus!E49</f>
        <v>496314</v>
      </c>
      <c r="C49" s="3">
        <f>Charges!J49+'Leasing (2)'!N49+F49+G49</f>
        <v>182488.61494302226</v>
      </c>
      <c r="D49" s="3">
        <f t="shared" si="0"/>
        <v>313825.38505697774</v>
      </c>
      <c r="E49" s="3">
        <f t="shared" si="1"/>
        <v>2229905.3214612729</v>
      </c>
      <c r="G49" s="3"/>
    </row>
    <row r="50" spans="1:7" x14ac:dyDescent="0.25">
      <c r="A50">
        <v>49</v>
      </c>
      <c r="B50" s="3">
        <f>Revenus!E50</f>
        <v>496314</v>
      </c>
      <c r="C50" s="3">
        <f>Charges!J50+'Leasing (2)'!N50+F50+G50</f>
        <v>82488.614943022258</v>
      </c>
      <c r="D50" s="3">
        <f t="shared" si="0"/>
        <v>413825.38505697774</v>
      </c>
      <c r="E50" s="3">
        <f t="shared" si="1"/>
        <v>2643730.7065182505</v>
      </c>
    </row>
    <row r="51" spans="1:7" x14ac:dyDescent="0.25">
      <c r="A51">
        <v>50</v>
      </c>
      <c r="B51" s="3">
        <f>Revenus!E51</f>
        <v>496314</v>
      </c>
      <c r="C51" s="3">
        <f>Charges!J51+'Leasing (2)'!N51+F51+G51</f>
        <v>233503.42294302225</v>
      </c>
      <c r="D51" s="3">
        <f t="shared" si="0"/>
        <v>262810.57705697778</v>
      </c>
      <c r="E51" s="3">
        <f t="shared" si="1"/>
        <v>2906541.2835752284</v>
      </c>
      <c r="F51" s="3">
        <v>151014.80799999999</v>
      </c>
    </row>
    <row r="52" spans="1:7" x14ac:dyDescent="0.25">
      <c r="A52">
        <v>51</v>
      </c>
      <c r="B52" s="3">
        <f>Revenus!E52</f>
        <v>496314</v>
      </c>
      <c r="C52" s="3">
        <f>Charges!J52+'Leasing (2)'!N52+F52+G52</f>
        <v>735547.84694302222</v>
      </c>
      <c r="D52" s="3">
        <f t="shared" si="0"/>
        <v>-239233.84694302222</v>
      </c>
      <c r="E52" s="3">
        <f t="shared" si="1"/>
        <v>2667307.4366322062</v>
      </c>
      <c r="G52" s="3">
        <v>604059.23199999996</v>
      </c>
    </row>
    <row r="53" spans="1:7" x14ac:dyDescent="0.25">
      <c r="A53">
        <v>52</v>
      </c>
      <c r="B53" s="3">
        <f>Revenus!E53</f>
        <v>534492</v>
      </c>
      <c r="C53" s="3">
        <f>Charges!J53+'Leasing (2)'!N53+F53+G53</f>
        <v>83888.614943022258</v>
      </c>
      <c r="D53" s="3">
        <f t="shared" si="0"/>
        <v>450603.38505697774</v>
      </c>
      <c r="E53" s="3">
        <f t="shared" si="1"/>
        <v>3117910.8216891838</v>
      </c>
      <c r="F53" s="3"/>
    </row>
    <row r="54" spans="1:7" x14ac:dyDescent="0.25">
      <c r="A54">
        <v>53</v>
      </c>
      <c r="B54" s="3">
        <f>Revenus!E54</f>
        <v>534492</v>
      </c>
      <c r="C54" s="3">
        <f>Charges!J54+'Leasing (2)'!N54+F54+G54</f>
        <v>83888.614943022258</v>
      </c>
      <c r="D54" s="3">
        <f t="shared" si="0"/>
        <v>450603.38505697774</v>
      </c>
      <c r="E54" s="3">
        <f t="shared" si="1"/>
        <v>3568514.2067461614</v>
      </c>
    </row>
    <row r="55" spans="1:7" x14ac:dyDescent="0.25">
      <c r="A55">
        <v>54</v>
      </c>
      <c r="B55" s="3">
        <f>Revenus!E55</f>
        <v>534492</v>
      </c>
      <c r="C55" s="3">
        <f>Charges!J55+'Leasing (2)'!N55+F55+G55</f>
        <v>83888.614943022258</v>
      </c>
      <c r="D55" s="3">
        <f t="shared" si="0"/>
        <v>450603.38505697774</v>
      </c>
      <c r="E55" s="3">
        <f t="shared" si="1"/>
        <v>4019117.5918031391</v>
      </c>
      <c r="G55" s="3"/>
    </row>
    <row r="56" spans="1:7" x14ac:dyDescent="0.25">
      <c r="A56">
        <v>55</v>
      </c>
      <c r="B56" s="3">
        <f>Revenus!E56</f>
        <v>534492</v>
      </c>
      <c r="C56" s="3">
        <f>Charges!J56+'Leasing (2)'!N56+F56+G56</f>
        <v>687947.84694302222</v>
      </c>
      <c r="D56" s="3">
        <f t="shared" si="0"/>
        <v>-153455.84694302222</v>
      </c>
      <c r="E56" s="3">
        <f t="shared" si="1"/>
        <v>3865661.7448601169</v>
      </c>
      <c r="G56" s="3">
        <v>604059.23199999996</v>
      </c>
    </row>
    <row r="57" spans="1:7" x14ac:dyDescent="0.25">
      <c r="A57">
        <v>56</v>
      </c>
      <c r="B57" s="3">
        <f>Revenus!E57</f>
        <v>534492</v>
      </c>
      <c r="C57" s="3">
        <f>Charges!J57+'Leasing (2)'!N57+F57+G57</f>
        <v>83888.614943022258</v>
      </c>
      <c r="D57" s="3">
        <f t="shared" si="0"/>
        <v>450603.38505697774</v>
      </c>
      <c r="E57" s="3">
        <f t="shared" si="1"/>
        <v>4316265.1299170945</v>
      </c>
    </row>
    <row r="58" spans="1:7" x14ac:dyDescent="0.25">
      <c r="A58">
        <v>57</v>
      </c>
      <c r="B58" s="3">
        <f>Revenus!E58</f>
        <v>534492</v>
      </c>
      <c r="C58" s="3">
        <f>Charges!J58+'Leasing (2)'!N58+F58+G58</f>
        <v>83888.614943022258</v>
      </c>
      <c r="D58" s="3">
        <f t="shared" si="0"/>
        <v>450603.38505697774</v>
      </c>
      <c r="E58" s="3">
        <f t="shared" si="1"/>
        <v>4766868.5149740726</v>
      </c>
    </row>
    <row r="59" spans="1:7" x14ac:dyDescent="0.25">
      <c r="A59">
        <v>58</v>
      </c>
      <c r="B59" s="3">
        <f>Revenus!E59</f>
        <v>534492</v>
      </c>
      <c r="C59" s="3">
        <f>Charges!J59+'Leasing (2)'!N59+F59+G59</f>
        <v>83888.614943022258</v>
      </c>
      <c r="D59" s="3">
        <f t="shared" si="0"/>
        <v>450603.38505697774</v>
      </c>
      <c r="E59" s="3">
        <f t="shared" si="1"/>
        <v>5217471.9000310507</v>
      </c>
    </row>
    <row r="60" spans="1:7" x14ac:dyDescent="0.25">
      <c r="A60">
        <v>59</v>
      </c>
      <c r="B60" s="3">
        <f>Revenus!E60</f>
        <v>534492</v>
      </c>
      <c r="C60" s="3">
        <f>Charges!J60+'Leasing (2)'!N60+F60+G60</f>
        <v>687947.84694302222</v>
      </c>
      <c r="D60" s="3">
        <f t="shared" si="0"/>
        <v>-153455.84694302222</v>
      </c>
      <c r="E60" s="3">
        <f t="shared" si="1"/>
        <v>5064016.053088028</v>
      </c>
      <c r="F60" s="3"/>
      <c r="G60" s="3">
        <v>604059.23199999996</v>
      </c>
    </row>
    <row r="61" spans="1:7" x14ac:dyDescent="0.25">
      <c r="A61">
        <v>60</v>
      </c>
      <c r="B61" s="3">
        <f>Revenus!E61</f>
        <v>534492</v>
      </c>
      <c r="C61" s="3">
        <f>Charges!J61+'Leasing (2)'!N61+F61+G61</f>
        <v>183888.61494302226</v>
      </c>
      <c r="D61" s="3">
        <f t="shared" si="0"/>
        <v>350603.38505697774</v>
      </c>
      <c r="E61" s="3">
        <f t="shared" si="1"/>
        <v>5414619.4381450061</v>
      </c>
    </row>
    <row r="62" spans="1:7" x14ac:dyDescent="0.25">
      <c r="A62">
        <v>61</v>
      </c>
      <c r="B62" s="3">
        <f>Revenus!E62</f>
        <v>534492</v>
      </c>
      <c r="C62" s="3">
        <f>Charges!J62+'Leasing (2)'!N62+F62+G62</f>
        <v>83888.614943022258</v>
      </c>
      <c r="D62" s="3">
        <f t="shared" si="0"/>
        <v>450603.38505697774</v>
      </c>
      <c r="E62" s="3">
        <f t="shared" si="1"/>
        <v>5865222.8232019842</v>
      </c>
    </row>
    <row r="63" spans="1:7" x14ac:dyDescent="0.25">
      <c r="A63">
        <v>62</v>
      </c>
      <c r="B63" s="3">
        <f>Revenus!E63</f>
        <v>534492</v>
      </c>
      <c r="C63" s="3">
        <f>Charges!J63+'Leasing (2)'!N63+F63+G63</f>
        <v>83888.614943022258</v>
      </c>
      <c r="D63" s="3">
        <f t="shared" si="0"/>
        <v>450603.38505697774</v>
      </c>
      <c r="E63" s="3">
        <f t="shared" si="1"/>
        <v>6315826.2082589623</v>
      </c>
      <c r="G63" s="3"/>
    </row>
    <row r="64" spans="1:7" x14ac:dyDescent="0.25">
      <c r="A64">
        <v>63</v>
      </c>
      <c r="B64" s="3">
        <f>Revenus!E64</f>
        <v>534492</v>
      </c>
      <c r="C64" s="3">
        <f>Charges!J64+'Leasing (2)'!N64+F64+G64</f>
        <v>83888.614943022258</v>
      </c>
      <c r="D64" s="3">
        <f t="shared" si="0"/>
        <v>450603.38505697774</v>
      </c>
      <c r="E64" s="3">
        <f t="shared" si="1"/>
        <v>6766429.5933159404</v>
      </c>
      <c r="G64" s="3"/>
    </row>
    <row r="65" spans="1:7" x14ac:dyDescent="0.25">
      <c r="A65">
        <v>64</v>
      </c>
      <c r="B65" s="3">
        <f>Revenus!E65</f>
        <v>534492</v>
      </c>
      <c r="C65" s="3">
        <f>Charges!J65+'Leasing (2)'!N65+F65+G65</f>
        <v>83888.614943022258</v>
      </c>
      <c r="D65" s="3">
        <f t="shared" si="0"/>
        <v>450603.38505697774</v>
      </c>
      <c r="E65" s="3">
        <f t="shared" si="1"/>
        <v>7217032.9783729184</v>
      </c>
      <c r="G65" s="3"/>
    </row>
    <row r="66" spans="1:7" x14ac:dyDescent="0.25">
      <c r="A66">
        <v>65</v>
      </c>
      <c r="B66" s="3">
        <f>Revenus!E66</f>
        <v>534492</v>
      </c>
      <c r="C66" s="3">
        <f>Charges!J66+'Leasing (2)'!N66+F66+G66</f>
        <v>83888.614943022258</v>
      </c>
      <c r="D66" s="3">
        <f t="shared" si="0"/>
        <v>450603.38505697774</v>
      </c>
      <c r="E66" s="3">
        <f t="shared" si="1"/>
        <v>7667636.3634298965</v>
      </c>
    </row>
    <row r="67" spans="1:7" x14ac:dyDescent="0.25">
      <c r="A67">
        <v>66</v>
      </c>
      <c r="B67" s="3">
        <f>Revenus!E67</f>
        <v>534492</v>
      </c>
      <c r="C67" s="3">
        <f>Charges!J67+'Leasing (2)'!N67+F67+G67</f>
        <v>83888.614943022258</v>
      </c>
      <c r="D67" s="3">
        <f t="shared" ref="D67:D86" si="2">B67-C67</f>
        <v>450603.38505697774</v>
      </c>
      <c r="E67" s="3">
        <f t="shared" si="1"/>
        <v>8118239.7484868746</v>
      </c>
    </row>
    <row r="68" spans="1:7" x14ac:dyDescent="0.25">
      <c r="A68">
        <v>67</v>
      </c>
      <c r="B68" s="3">
        <f>Revenus!E68</f>
        <v>534492</v>
      </c>
      <c r="C68" s="3">
        <f>Charges!J68+'Leasing (2)'!N68+F68+G68</f>
        <v>83888.614943022258</v>
      </c>
      <c r="D68" s="3">
        <f t="shared" si="2"/>
        <v>450603.38505697774</v>
      </c>
      <c r="E68" s="3">
        <f t="shared" si="1"/>
        <v>8568843.1335438527</v>
      </c>
    </row>
    <row r="69" spans="1:7" x14ac:dyDescent="0.25">
      <c r="A69">
        <v>68</v>
      </c>
      <c r="B69" s="3">
        <f>Revenus!E69</f>
        <v>534492</v>
      </c>
      <c r="C69" s="3">
        <f>Charges!J69+'Leasing (2)'!N69+F69+G69</f>
        <v>83888.614943022258</v>
      </c>
      <c r="D69" s="3">
        <f t="shared" si="2"/>
        <v>450603.38505697774</v>
      </c>
      <c r="E69" s="3">
        <f t="shared" ref="E69:E86" si="3">E68+D69</f>
        <v>9019446.5186008308</v>
      </c>
    </row>
    <row r="70" spans="1:7" x14ac:dyDescent="0.25">
      <c r="A70">
        <v>69</v>
      </c>
      <c r="B70" s="3">
        <f>Revenus!E70</f>
        <v>534492</v>
      </c>
      <c r="C70" s="3">
        <f>Charges!J70+'Leasing (2)'!N70+F70+G70</f>
        <v>83888.614943022258</v>
      </c>
      <c r="D70" s="3">
        <f t="shared" si="2"/>
        <v>450603.38505697774</v>
      </c>
      <c r="E70" s="3">
        <f t="shared" si="3"/>
        <v>9470049.9036578089</v>
      </c>
    </row>
    <row r="71" spans="1:7" x14ac:dyDescent="0.25">
      <c r="A71">
        <v>70</v>
      </c>
      <c r="B71" s="3">
        <f>Revenus!E71</f>
        <v>534492</v>
      </c>
      <c r="C71" s="3">
        <f>Charges!J71+'Leasing (2)'!N71+F71+G71</f>
        <v>83888.614943022258</v>
      </c>
      <c r="D71" s="3">
        <f t="shared" si="2"/>
        <v>450603.38505697774</v>
      </c>
      <c r="E71" s="3">
        <f t="shared" si="3"/>
        <v>9920653.288714787</v>
      </c>
    </row>
    <row r="72" spans="1:7" x14ac:dyDescent="0.25">
      <c r="A72">
        <v>71</v>
      </c>
      <c r="B72" s="3">
        <f>Revenus!E72</f>
        <v>534492</v>
      </c>
      <c r="C72" s="3">
        <f>Charges!J72+'Leasing (2)'!N72+F72+G72</f>
        <v>83888.614943022258</v>
      </c>
      <c r="D72" s="3">
        <f t="shared" si="2"/>
        <v>450603.38505697774</v>
      </c>
      <c r="E72" s="3">
        <f t="shared" si="3"/>
        <v>10371256.673771765</v>
      </c>
    </row>
    <row r="73" spans="1:7" x14ac:dyDescent="0.25">
      <c r="A73">
        <v>72</v>
      </c>
      <c r="B73" s="3">
        <f>Revenus!E73</f>
        <v>534492</v>
      </c>
      <c r="C73" s="3">
        <f>Charges!J73+'Leasing (2)'!N73+F73+G73</f>
        <v>183888.61494302226</v>
      </c>
      <c r="D73" s="3">
        <f t="shared" si="2"/>
        <v>350603.38505697774</v>
      </c>
      <c r="E73" s="3">
        <f t="shared" si="3"/>
        <v>10721860.058828743</v>
      </c>
    </row>
    <row r="74" spans="1:7" x14ac:dyDescent="0.25">
      <c r="A74">
        <v>73</v>
      </c>
      <c r="B74" s="3">
        <f>Revenus!E74</f>
        <v>534492</v>
      </c>
      <c r="C74" s="3">
        <f>Charges!J74+'Leasing (2)'!N74+F74+G74</f>
        <v>67092.409962014848</v>
      </c>
      <c r="D74" s="3">
        <f t="shared" si="2"/>
        <v>467399.59003798512</v>
      </c>
      <c r="E74" s="3">
        <f t="shared" si="3"/>
        <v>11189259.648866728</v>
      </c>
      <c r="G74" s="3"/>
    </row>
    <row r="75" spans="1:7" x14ac:dyDescent="0.25">
      <c r="A75">
        <v>74</v>
      </c>
      <c r="B75" s="3">
        <f>Revenus!E75</f>
        <v>534492</v>
      </c>
      <c r="C75" s="3">
        <f>Charges!J75+'Leasing (2)'!N75+F75+G75</f>
        <v>67092.409962014848</v>
      </c>
      <c r="D75" s="3">
        <f t="shared" si="2"/>
        <v>467399.59003798512</v>
      </c>
      <c r="E75" s="3">
        <f t="shared" si="3"/>
        <v>11656659.238904713</v>
      </c>
    </row>
    <row r="76" spans="1:7" x14ac:dyDescent="0.25">
      <c r="A76">
        <v>75</v>
      </c>
      <c r="B76" s="3">
        <f>Revenus!E76</f>
        <v>534492</v>
      </c>
      <c r="C76" s="3">
        <f>Charges!J76+'Leasing (2)'!N76+F76+G76</f>
        <v>67092.409962014848</v>
      </c>
      <c r="D76" s="3">
        <f t="shared" si="2"/>
        <v>467399.59003798512</v>
      </c>
      <c r="E76" s="3">
        <f t="shared" si="3"/>
        <v>12124058.828942697</v>
      </c>
    </row>
    <row r="77" spans="1:7" x14ac:dyDescent="0.25">
      <c r="A77">
        <v>76</v>
      </c>
      <c r="B77" s="3">
        <f>Revenus!E77</f>
        <v>534492</v>
      </c>
      <c r="C77" s="3">
        <f>Charges!J77+'Leasing (2)'!N77+F77+G77</f>
        <v>50296.204981007424</v>
      </c>
      <c r="D77" s="3">
        <f t="shared" si="2"/>
        <v>484195.79501899256</v>
      </c>
      <c r="E77" s="3">
        <f t="shared" si="3"/>
        <v>12608254.623961691</v>
      </c>
    </row>
    <row r="78" spans="1:7" x14ac:dyDescent="0.25">
      <c r="A78">
        <v>77</v>
      </c>
      <c r="B78" s="3">
        <f>Revenus!E78</f>
        <v>534492</v>
      </c>
      <c r="C78" s="3">
        <f>Charges!J78+'Leasing (2)'!N78+F78+G78</f>
        <v>50296.204981007424</v>
      </c>
      <c r="D78" s="3">
        <f t="shared" si="2"/>
        <v>484195.79501899256</v>
      </c>
      <c r="E78" s="3">
        <f t="shared" si="3"/>
        <v>13092450.418980684</v>
      </c>
    </row>
    <row r="79" spans="1:7" x14ac:dyDescent="0.25">
      <c r="A79">
        <v>78</v>
      </c>
      <c r="B79" s="3">
        <f>Revenus!E79</f>
        <v>534492</v>
      </c>
      <c r="C79" s="3">
        <f>Charges!J79+'Leasing (2)'!N79+F79+G79</f>
        <v>50296.204981007424</v>
      </c>
      <c r="D79" s="3">
        <f t="shared" si="2"/>
        <v>484195.79501899256</v>
      </c>
      <c r="E79" s="3">
        <f t="shared" si="3"/>
        <v>13576646.213999677</v>
      </c>
    </row>
    <row r="80" spans="1:7" x14ac:dyDescent="0.25">
      <c r="A80">
        <v>79</v>
      </c>
      <c r="B80" s="3">
        <f>Revenus!E80</f>
        <v>534492</v>
      </c>
      <c r="C80" s="3">
        <f>Charges!J80+'Leasing (2)'!N80+F80+G80</f>
        <v>50296.204981007424</v>
      </c>
      <c r="D80" s="3">
        <f t="shared" si="2"/>
        <v>484195.79501899256</v>
      </c>
      <c r="E80" s="3">
        <f t="shared" si="3"/>
        <v>14060842.009018671</v>
      </c>
    </row>
    <row r="81" spans="1:7" x14ac:dyDescent="0.25">
      <c r="A81">
        <v>80</v>
      </c>
      <c r="B81" s="3">
        <f>Revenus!E81</f>
        <v>534492</v>
      </c>
      <c r="C81" s="3">
        <f>Charges!J81+'Leasing (2)'!N81+F81+G81</f>
        <v>33500</v>
      </c>
      <c r="D81" s="3">
        <f t="shared" si="2"/>
        <v>500992</v>
      </c>
      <c r="E81" s="3">
        <f t="shared" si="3"/>
        <v>14561834.009018671</v>
      </c>
      <c r="G81" s="3"/>
    </row>
    <row r="82" spans="1:7" x14ac:dyDescent="0.25">
      <c r="A82">
        <v>81</v>
      </c>
      <c r="B82" s="3">
        <f>Revenus!E82</f>
        <v>534492</v>
      </c>
      <c r="C82" s="3">
        <f>Charges!J82+'Leasing (2)'!N82+F82+G82</f>
        <v>33500</v>
      </c>
      <c r="D82" s="3">
        <f t="shared" si="2"/>
        <v>500992</v>
      </c>
      <c r="E82" s="3">
        <f t="shared" si="3"/>
        <v>15062826.009018671</v>
      </c>
      <c r="G82" s="3"/>
    </row>
    <row r="83" spans="1:7" x14ac:dyDescent="0.25">
      <c r="A83">
        <v>82</v>
      </c>
      <c r="B83" s="3">
        <f>Revenus!E83</f>
        <v>534492</v>
      </c>
      <c r="C83" s="3">
        <f>Charges!J83+'Leasing (2)'!N83+F83+G83</f>
        <v>33500</v>
      </c>
      <c r="D83" s="3">
        <f t="shared" si="2"/>
        <v>500992</v>
      </c>
      <c r="E83" s="3">
        <f t="shared" si="3"/>
        <v>15563818.009018671</v>
      </c>
      <c r="G83" s="3"/>
    </row>
    <row r="84" spans="1:7" x14ac:dyDescent="0.25">
      <c r="A84">
        <v>83</v>
      </c>
      <c r="B84" s="3">
        <f>Revenus!E84</f>
        <v>534492</v>
      </c>
      <c r="C84" s="3">
        <f>Charges!J84+'Leasing (2)'!N84+F84+G84</f>
        <v>33500</v>
      </c>
      <c r="D84" s="3">
        <f t="shared" si="2"/>
        <v>500992</v>
      </c>
      <c r="E84" s="3">
        <f t="shared" si="3"/>
        <v>16064810.009018671</v>
      </c>
    </row>
    <row r="85" spans="1:7" x14ac:dyDescent="0.25">
      <c r="A85">
        <v>84</v>
      </c>
      <c r="B85" s="3">
        <f>Revenus!E85</f>
        <v>0</v>
      </c>
      <c r="C85" s="3">
        <f>Charges!J85+'Leasing (2)'!N85+F85+G85</f>
        <v>0</v>
      </c>
      <c r="D85" s="3">
        <f t="shared" si="2"/>
        <v>0</v>
      </c>
      <c r="E85" s="3">
        <f t="shared" si="3"/>
        <v>16064810.009018671</v>
      </c>
    </row>
    <row r="86" spans="1:7" x14ac:dyDescent="0.25">
      <c r="A86">
        <v>85</v>
      </c>
      <c r="B86" s="3">
        <f>Revenus!E86</f>
        <v>0</v>
      </c>
      <c r="C86" s="3">
        <f>Charges!J86+'Leasing (2)'!N86+F86+G86</f>
        <v>0</v>
      </c>
      <c r="D86" s="3">
        <f t="shared" si="2"/>
        <v>0</v>
      </c>
      <c r="E86" s="3">
        <f t="shared" si="3"/>
        <v>16064810.009018671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selection activeCell="E2" sqref="E2"/>
    </sheetView>
  </sheetViews>
  <sheetFormatPr baseColWidth="10" defaultColWidth="8.85546875" defaultRowHeight="15" x14ac:dyDescent="0.25"/>
  <cols>
    <col min="1" max="1" width="5.42578125" bestFit="1" customWidth="1"/>
    <col min="2" max="2" width="17.28515625" style="3" bestFit="1" customWidth="1"/>
    <col min="3" max="4" width="12.85546875" style="3" bestFit="1" customWidth="1"/>
    <col min="5" max="5" width="27.85546875" style="3" bestFit="1" customWidth="1"/>
    <col min="6" max="6" width="15.28515625" bestFit="1" customWidth="1"/>
    <col min="7" max="7" width="12.85546875" bestFit="1" customWidth="1"/>
  </cols>
  <sheetData>
    <row r="1" spans="1:7" x14ac:dyDescent="0.25">
      <c r="A1" s="1" t="s">
        <v>15</v>
      </c>
      <c r="B1" s="2" t="s">
        <v>28</v>
      </c>
      <c r="C1" s="2" t="s">
        <v>29</v>
      </c>
      <c r="D1" s="2" t="s">
        <v>50</v>
      </c>
      <c r="E1" s="2" t="s">
        <v>30</v>
      </c>
    </row>
    <row r="2" spans="1:7" x14ac:dyDescent="0.25">
      <c r="A2">
        <v>1</v>
      </c>
      <c r="B2" s="3">
        <v>22099.73</v>
      </c>
      <c r="D2" s="3">
        <v>22099.73</v>
      </c>
      <c r="E2" s="3">
        <v>2651967.36</v>
      </c>
    </row>
    <row r="3" spans="1:7" x14ac:dyDescent="0.25">
      <c r="A3">
        <v>2</v>
      </c>
      <c r="B3" s="3">
        <v>22099.73</v>
      </c>
      <c r="D3" s="3">
        <v>22099.73</v>
      </c>
      <c r="E3" s="3">
        <v>2651967.36</v>
      </c>
    </row>
    <row r="4" spans="1:7" x14ac:dyDescent="0.25">
      <c r="A4">
        <v>3</v>
      </c>
      <c r="B4" s="3">
        <v>22099.73</v>
      </c>
      <c r="D4" s="3">
        <v>22099.73</v>
      </c>
      <c r="E4" s="3">
        <v>2651967.36</v>
      </c>
    </row>
    <row r="5" spans="1:7" x14ac:dyDescent="0.25">
      <c r="A5">
        <v>4</v>
      </c>
      <c r="B5" s="3">
        <v>22099.73</v>
      </c>
      <c r="D5" s="3">
        <v>22099.73</v>
      </c>
      <c r="E5" s="3">
        <v>2651967.36</v>
      </c>
    </row>
    <row r="6" spans="1:7" x14ac:dyDescent="0.25">
      <c r="A6">
        <v>5</v>
      </c>
      <c r="B6" s="3">
        <v>22099.73</v>
      </c>
      <c r="D6" s="3">
        <v>22099.73</v>
      </c>
      <c r="E6" s="3">
        <v>2651967.36</v>
      </c>
    </row>
    <row r="7" spans="1:7" x14ac:dyDescent="0.25">
      <c r="A7">
        <v>6</v>
      </c>
      <c r="B7" s="3">
        <v>22099.73</v>
      </c>
      <c r="D7" s="3">
        <v>22099.73</v>
      </c>
      <c r="E7" s="3">
        <v>2651967.36</v>
      </c>
    </row>
    <row r="8" spans="1:7" x14ac:dyDescent="0.25">
      <c r="A8">
        <v>7</v>
      </c>
      <c r="B8" s="3">
        <v>22099.73</v>
      </c>
      <c r="D8" s="3">
        <v>22099.73</v>
      </c>
      <c r="E8" s="3">
        <v>2651967.36</v>
      </c>
    </row>
    <row r="9" spans="1:7" x14ac:dyDescent="0.25">
      <c r="A9">
        <v>8</v>
      </c>
      <c r="B9" s="3">
        <v>22099.73</v>
      </c>
      <c r="D9" s="3">
        <v>22099.73</v>
      </c>
      <c r="E9" s="3">
        <v>2651967.36</v>
      </c>
    </row>
    <row r="10" spans="1:7" x14ac:dyDescent="0.25">
      <c r="A10">
        <v>9</v>
      </c>
      <c r="B10" s="3">
        <v>22099.73</v>
      </c>
      <c r="D10" s="3">
        <v>22099.73</v>
      </c>
      <c r="E10" s="3">
        <v>2651967.36</v>
      </c>
    </row>
    <row r="11" spans="1:7" x14ac:dyDescent="0.25">
      <c r="A11">
        <v>10</v>
      </c>
      <c r="B11" s="3">
        <v>22099.73</v>
      </c>
      <c r="D11" s="3">
        <v>22099.73</v>
      </c>
      <c r="E11" s="3">
        <v>2651967.36</v>
      </c>
    </row>
    <row r="12" spans="1:7" x14ac:dyDescent="0.25">
      <c r="A12">
        <v>11</v>
      </c>
      <c r="B12" s="3">
        <v>22099.73</v>
      </c>
      <c r="D12" s="3">
        <v>22099.73</v>
      </c>
      <c r="E12" s="3">
        <v>2651967.36</v>
      </c>
    </row>
    <row r="13" spans="1:7" x14ac:dyDescent="0.25">
      <c r="A13">
        <v>12</v>
      </c>
      <c r="B13" s="3">
        <v>22099.73</v>
      </c>
      <c r="D13" s="3">
        <v>22099.73</v>
      </c>
      <c r="E13" s="3">
        <v>2651967.36</v>
      </c>
    </row>
    <row r="14" spans="1:7" x14ac:dyDescent="0.25">
      <c r="A14">
        <v>13</v>
      </c>
      <c r="B14" s="3">
        <f>C14+D14</f>
        <v>56346.469070744279</v>
      </c>
      <c r="C14" s="3">
        <v>34246.741070744276</v>
      </c>
      <c r="D14" s="3">
        <v>22099.727999999999</v>
      </c>
      <c r="E14" s="3">
        <f>E13-C14</f>
        <v>2617720.6189292558</v>
      </c>
      <c r="F14" s="6"/>
      <c r="G14" s="6"/>
    </row>
    <row r="15" spans="1:7" x14ac:dyDescent="0.25">
      <c r="A15">
        <v>14</v>
      </c>
      <c r="B15" s="3">
        <f t="shared" ref="B15:B73" si="0">C15+D15</f>
        <v>56346.469070744279</v>
      </c>
      <c r="C15" s="3">
        <v>34532.130579667151</v>
      </c>
      <c r="D15" s="3">
        <v>21814.338491077131</v>
      </c>
      <c r="E15" s="3">
        <f t="shared" ref="E15:E73" si="1">E14-C15</f>
        <v>2583188.4883495886</v>
      </c>
      <c r="F15" s="6"/>
      <c r="G15" s="6"/>
    </row>
    <row r="16" spans="1:7" x14ac:dyDescent="0.25">
      <c r="A16">
        <v>15</v>
      </c>
      <c r="B16" s="3">
        <f t="shared" si="0"/>
        <v>56346.469070744279</v>
      </c>
      <c r="C16" s="3">
        <v>34819.898334497702</v>
      </c>
      <c r="D16" s="3">
        <v>21526.570736246573</v>
      </c>
      <c r="E16" s="3">
        <f t="shared" si="1"/>
        <v>2548368.590015091</v>
      </c>
      <c r="F16" s="6"/>
      <c r="G16" s="6"/>
    </row>
    <row r="17" spans="1:7" x14ac:dyDescent="0.25">
      <c r="A17">
        <v>16</v>
      </c>
      <c r="B17" s="3">
        <f t="shared" si="0"/>
        <v>56346.469070744279</v>
      </c>
      <c r="C17" s="3">
        <v>35110.064153951855</v>
      </c>
      <c r="D17" s="3">
        <v>21236.404916792424</v>
      </c>
      <c r="E17" s="3">
        <f t="shared" si="1"/>
        <v>2513258.5258611389</v>
      </c>
      <c r="F17" s="6"/>
      <c r="G17" s="6"/>
    </row>
    <row r="18" spans="1:7" x14ac:dyDescent="0.25">
      <c r="A18">
        <v>17</v>
      </c>
      <c r="B18" s="3">
        <f t="shared" si="0"/>
        <v>56346.469070744279</v>
      </c>
      <c r="C18" s="3">
        <v>35402.648021901456</v>
      </c>
      <c r="D18" s="3">
        <v>20943.821048842823</v>
      </c>
      <c r="E18" s="3">
        <f t="shared" si="1"/>
        <v>2477855.8778392375</v>
      </c>
      <c r="F18" s="6"/>
      <c r="G18" s="6"/>
    </row>
    <row r="19" spans="1:7" x14ac:dyDescent="0.25">
      <c r="A19">
        <v>18</v>
      </c>
      <c r="B19" s="3">
        <f t="shared" si="0"/>
        <v>56346.469070744279</v>
      </c>
      <c r="C19" s="3">
        <v>35697.67008875063</v>
      </c>
      <c r="D19" s="3">
        <v>20648.798981993645</v>
      </c>
      <c r="E19" s="3">
        <f t="shared" si="1"/>
        <v>2442158.2077504867</v>
      </c>
      <c r="F19" s="6"/>
      <c r="G19" s="6"/>
    </row>
    <row r="20" spans="1:7" x14ac:dyDescent="0.25">
      <c r="A20">
        <v>19</v>
      </c>
      <c r="B20" s="3">
        <f t="shared" si="0"/>
        <v>56346.469070744279</v>
      </c>
      <c r="C20" s="3">
        <v>35995.150672823554</v>
      </c>
      <c r="D20" s="3">
        <v>20351.318397920721</v>
      </c>
      <c r="E20" s="3">
        <f t="shared" si="1"/>
        <v>2406163.057077663</v>
      </c>
      <c r="F20" s="6"/>
      <c r="G20" s="6"/>
    </row>
    <row r="21" spans="1:7" x14ac:dyDescent="0.25">
      <c r="A21">
        <v>20</v>
      </c>
      <c r="B21" s="3">
        <f t="shared" si="0"/>
        <v>56346.469070744279</v>
      </c>
      <c r="C21" s="3">
        <v>36295.110261763752</v>
      </c>
      <c r="D21" s="3">
        <v>20051.358808980523</v>
      </c>
      <c r="E21" s="3">
        <f t="shared" si="1"/>
        <v>2369867.9468158991</v>
      </c>
      <c r="F21" s="6"/>
      <c r="G21" s="6"/>
    </row>
    <row r="22" spans="1:7" x14ac:dyDescent="0.25">
      <c r="A22">
        <v>21</v>
      </c>
      <c r="B22" s="3">
        <f t="shared" si="0"/>
        <v>56346.469070744279</v>
      </c>
      <c r="C22" s="3">
        <v>36597.56951394512</v>
      </c>
      <c r="D22" s="3">
        <v>19748.899556799159</v>
      </c>
      <c r="E22" s="3">
        <f t="shared" si="1"/>
        <v>2333270.3773019542</v>
      </c>
      <c r="F22" s="6"/>
      <c r="G22" s="6"/>
    </row>
    <row r="23" spans="1:7" x14ac:dyDescent="0.25">
      <c r="A23">
        <v>22</v>
      </c>
      <c r="B23" s="3">
        <f t="shared" si="0"/>
        <v>56346.469070744279</v>
      </c>
      <c r="C23" s="3">
        <v>36902.549259894658</v>
      </c>
      <c r="D23" s="3">
        <v>19443.919810849617</v>
      </c>
      <c r="E23" s="3">
        <f t="shared" si="1"/>
        <v>2296367.8280420597</v>
      </c>
      <c r="F23" s="6"/>
      <c r="G23" s="6"/>
    </row>
    <row r="24" spans="1:7" x14ac:dyDescent="0.25">
      <c r="A24">
        <v>23</v>
      </c>
      <c r="B24" s="3">
        <f t="shared" si="0"/>
        <v>56346.469070744279</v>
      </c>
      <c r="C24" s="3">
        <v>37210.070503727111</v>
      </c>
      <c r="D24" s="3">
        <v>19136.398567017164</v>
      </c>
      <c r="E24" s="3">
        <f t="shared" si="1"/>
        <v>2259157.7575383326</v>
      </c>
      <c r="F24" s="6"/>
      <c r="G24" s="6"/>
    </row>
    <row r="25" spans="1:7" x14ac:dyDescent="0.25">
      <c r="A25">
        <v>24</v>
      </c>
      <c r="B25" s="3">
        <f t="shared" si="0"/>
        <v>56346.469070744279</v>
      </c>
      <c r="C25" s="3">
        <v>37520.154424591507</v>
      </c>
      <c r="D25" s="3">
        <v>18826.314646152772</v>
      </c>
      <c r="E25" s="3">
        <f t="shared" si="1"/>
        <v>2221637.6031137411</v>
      </c>
      <c r="F25" s="6"/>
      <c r="G25" s="6"/>
    </row>
    <row r="26" spans="1:7" x14ac:dyDescent="0.25">
      <c r="A26">
        <v>25</v>
      </c>
      <c r="B26" s="3">
        <f t="shared" si="0"/>
        <v>56346.469070744279</v>
      </c>
      <c r="C26" s="3">
        <v>37832.822378129771</v>
      </c>
      <c r="D26" s="3">
        <v>18513.646692614508</v>
      </c>
      <c r="E26" s="3">
        <f t="shared" si="1"/>
        <v>2183804.7807356114</v>
      </c>
      <c r="F26" s="6"/>
      <c r="G26" s="6"/>
    </row>
    <row r="27" spans="1:7" x14ac:dyDescent="0.25">
      <c r="A27">
        <v>26</v>
      </c>
      <c r="B27" s="3">
        <f t="shared" si="0"/>
        <v>56346.469070744279</v>
      </c>
      <c r="C27" s="3">
        <v>38148.095897947518</v>
      </c>
      <c r="D27" s="3">
        <v>18198.373172796761</v>
      </c>
      <c r="E27" s="3">
        <f t="shared" si="1"/>
        <v>2145656.684837664</v>
      </c>
      <c r="F27" s="6"/>
      <c r="G27" s="6"/>
    </row>
    <row r="28" spans="1:7" x14ac:dyDescent="0.25">
      <c r="A28">
        <v>27</v>
      </c>
      <c r="B28" s="3">
        <f t="shared" si="0"/>
        <v>56346.469070744279</v>
      </c>
      <c r="C28" s="3">
        <v>38465.996697097078</v>
      </c>
      <c r="D28" s="3">
        <v>17880.472373647201</v>
      </c>
      <c r="E28" s="3">
        <f t="shared" si="1"/>
        <v>2107190.6881405669</v>
      </c>
      <c r="F28" s="6"/>
      <c r="G28" s="6"/>
    </row>
    <row r="29" spans="1:7" x14ac:dyDescent="0.25">
      <c r="A29">
        <v>28</v>
      </c>
      <c r="B29" s="3">
        <f t="shared" si="0"/>
        <v>56346.469070744279</v>
      </c>
      <c r="C29" s="3">
        <v>38786.546669572883</v>
      </c>
      <c r="D29" s="3">
        <v>17559.922401171392</v>
      </c>
      <c r="E29" s="3">
        <f t="shared" si="1"/>
        <v>2068404.1414709941</v>
      </c>
      <c r="F29" s="6"/>
      <c r="G29" s="6"/>
    </row>
    <row r="30" spans="1:7" x14ac:dyDescent="0.25">
      <c r="A30">
        <v>29</v>
      </c>
      <c r="B30" s="3">
        <f t="shared" si="0"/>
        <v>56346.469070744279</v>
      </c>
      <c r="C30" s="3">
        <v>39109.767891819327</v>
      </c>
      <c r="D30" s="3">
        <v>17236.701178924952</v>
      </c>
      <c r="E30" s="3">
        <f t="shared" si="1"/>
        <v>2029294.3735791747</v>
      </c>
      <c r="F30" s="6"/>
      <c r="G30" s="6"/>
    </row>
    <row r="31" spans="1:7" x14ac:dyDescent="0.25">
      <c r="A31">
        <v>30</v>
      </c>
      <c r="B31" s="3">
        <f t="shared" si="0"/>
        <v>56346.469070744279</v>
      </c>
      <c r="C31" s="3">
        <v>39435.68262425116</v>
      </c>
      <c r="D31" s="3">
        <v>16910.786446493123</v>
      </c>
      <c r="E31" s="3">
        <f t="shared" si="1"/>
        <v>1989858.6909549236</v>
      </c>
      <c r="F31" s="6"/>
      <c r="G31" s="6"/>
    </row>
    <row r="32" spans="1:7" x14ac:dyDescent="0.25">
      <c r="A32">
        <v>31</v>
      </c>
      <c r="B32" s="3">
        <f t="shared" si="0"/>
        <v>56346.469070744279</v>
      </c>
      <c r="C32" s="3">
        <v>39764.31331278658</v>
      </c>
      <c r="D32" s="3">
        <v>16582.155757957698</v>
      </c>
      <c r="E32" s="3">
        <f t="shared" si="1"/>
        <v>1950094.377642137</v>
      </c>
      <c r="F32" s="6"/>
      <c r="G32" s="6"/>
    </row>
    <row r="33" spans="1:7" x14ac:dyDescent="0.25">
      <c r="A33">
        <v>32</v>
      </c>
      <c r="B33" s="3">
        <f t="shared" si="0"/>
        <v>56346.469070744279</v>
      </c>
      <c r="C33" s="3">
        <v>40095.682590393139</v>
      </c>
      <c r="D33" s="3">
        <v>16250.786480351142</v>
      </c>
      <c r="E33" s="3">
        <f t="shared" si="1"/>
        <v>1909998.6950517439</v>
      </c>
      <c r="F33" s="6"/>
      <c r="G33" s="6"/>
    </row>
    <row r="34" spans="1:7" x14ac:dyDescent="0.25">
      <c r="A34">
        <v>33</v>
      </c>
      <c r="B34" s="3">
        <f t="shared" si="0"/>
        <v>56346.469070744279</v>
      </c>
      <c r="C34" s="3">
        <v>40429.813278646412</v>
      </c>
      <c r="D34" s="3">
        <v>15916.655792097865</v>
      </c>
      <c r="E34" s="3">
        <f t="shared" si="1"/>
        <v>1869568.8817730974</v>
      </c>
      <c r="F34" s="6"/>
      <c r="G34" s="6"/>
    </row>
    <row r="35" spans="1:7" x14ac:dyDescent="0.25">
      <c r="A35">
        <v>34</v>
      </c>
      <c r="B35" s="3">
        <f t="shared" si="0"/>
        <v>56346.469070744279</v>
      </c>
      <c r="C35" s="3">
        <v>40766.728389301803</v>
      </c>
      <c r="D35" s="3">
        <v>15579.740681442478</v>
      </c>
      <c r="E35" s="3">
        <f t="shared" si="1"/>
        <v>1828802.1533837956</v>
      </c>
      <c r="F35" s="6"/>
      <c r="G35" s="6"/>
    </row>
    <row r="36" spans="1:7" x14ac:dyDescent="0.25">
      <c r="A36">
        <v>35</v>
      </c>
      <c r="B36" s="3">
        <f t="shared" si="0"/>
        <v>56346.469070744279</v>
      </c>
      <c r="C36" s="3">
        <v>41106.451125879314</v>
      </c>
      <c r="D36" s="3">
        <v>15240.017944864963</v>
      </c>
      <c r="E36" s="3">
        <f t="shared" si="1"/>
        <v>1787695.7022579163</v>
      </c>
      <c r="F36" s="6"/>
      <c r="G36" s="6"/>
    </row>
    <row r="37" spans="1:7" x14ac:dyDescent="0.25">
      <c r="A37">
        <v>36</v>
      </c>
      <c r="B37" s="3">
        <f t="shared" si="0"/>
        <v>56346.469070744279</v>
      </c>
      <c r="C37" s="3">
        <v>41449.004885261646</v>
      </c>
      <c r="D37" s="3">
        <v>14897.464185482635</v>
      </c>
      <c r="E37" s="3">
        <f t="shared" si="1"/>
        <v>1746246.6973726547</v>
      </c>
      <c r="F37" s="6"/>
      <c r="G37" s="6"/>
    </row>
    <row r="38" spans="1:7" x14ac:dyDescent="0.25">
      <c r="A38">
        <v>37</v>
      </c>
      <c r="B38" s="3">
        <f t="shared" si="0"/>
        <v>56346.469070744279</v>
      </c>
      <c r="C38" s="3">
        <v>41794.413259305489</v>
      </c>
      <c r="D38" s="3">
        <v>14552.05581143879</v>
      </c>
      <c r="E38" s="3">
        <f t="shared" si="1"/>
        <v>1704452.2841133492</v>
      </c>
      <c r="F38" s="6"/>
      <c r="G38" s="6"/>
    </row>
    <row r="39" spans="1:7" x14ac:dyDescent="0.25">
      <c r="A39">
        <v>38</v>
      </c>
      <c r="B39" s="3">
        <f t="shared" si="0"/>
        <v>56346.469070744279</v>
      </c>
      <c r="C39" s="3">
        <v>42142.700036466369</v>
      </c>
      <c r="D39" s="3">
        <v>14203.76903427791</v>
      </c>
      <c r="E39" s="3">
        <f t="shared" si="1"/>
        <v>1662309.5840768828</v>
      </c>
      <c r="F39" s="6"/>
      <c r="G39" s="6"/>
    </row>
    <row r="40" spans="1:7" x14ac:dyDescent="0.25">
      <c r="A40">
        <v>39</v>
      </c>
      <c r="B40" s="3">
        <f t="shared" si="0"/>
        <v>56346.469070744279</v>
      </c>
      <c r="C40" s="3">
        <v>42493.88920343692</v>
      </c>
      <c r="D40" s="3">
        <v>13852.579867307357</v>
      </c>
      <c r="E40" s="3">
        <f t="shared" si="1"/>
        <v>1619815.6948734459</v>
      </c>
      <c r="F40" s="6"/>
      <c r="G40" s="6"/>
    </row>
    <row r="41" spans="1:7" x14ac:dyDescent="0.25">
      <c r="A41">
        <v>40</v>
      </c>
      <c r="B41" s="3">
        <f t="shared" si="0"/>
        <v>56346.469070744279</v>
      </c>
      <c r="C41" s="3">
        <v>42848.004946798894</v>
      </c>
      <c r="D41" s="3">
        <v>13498.464123945383</v>
      </c>
      <c r="E41" s="3">
        <f t="shared" si="1"/>
        <v>1576967.6899266471</v>
      </c>
      <c r="F41" s="6"/>
      <c r="G41" s="6"/>
    </row>
    <row r="42" spans="1:7" x14ac:dyDescent="0.25">
      <c r="A42">
        <v>41</v>
      </c>
      <c r="B42" s="3">
        <f t="shared" si="0"/>
        <v>56346.469070744279</v>
      </c>
      <c r="C42" s="3">
        <v>43205.071654688887</v>
      </c>
      <c r="D42" s="3">
        <v>13141.397416055392</v>
      </c>
      <c r="E42" s="3">
        <f t="shared" si="1"/>
        <v>1533762.6182719583</v>
      </c>
      <c r="F42" s="6"/>
      <c r="G42" s="6"/>
    </row>
    <row r="43" spans="1:7" x14ac:dyDescent="0.25">
      <c r="A43">
        <v>42</v>
      </c>
      <c r="B43" s="3">
        <f t="shared" si="0"/>
        <v>56346.469070744279</v>
      </c>
      <c r="C43" s="3">
        <v>43565.11391847796</v>
      </c>
      <c r="D43" s="3">
        <v>12781.355152266318</v>
      </c>
      <c r="E43" s="3">
        <f t="shared" si="1"/>
        <v>1490197.5043534804</v>
      </c>
      <c r="F43" s="6"/>
      <c r="G43" s="6"/>
    </row>
    <row r="44" spans="1:7" x14ac:dyDescent="0.25">
      <c r="A44">
        <v>43</v>
      </c>
      <c r="B44" s="3">
        <f t="shared" si="0"/>
        <v>56346.469070744279</v>
      </c>
      <c r="C44" s="3">
        <v>43928.156534465277</v>
      </c>
      <c r="D44" s="3">
        <v>12418.312536279003</v>
      </c>
      <c r="E44" s="3">
        <f t="shared" si="1"/>
        <v>1446269.3478190152</v>
      </c>
      <c r="F44" s="6"/>
      <c r="G44" s="6"/>
    </row>
    <row r="45" spans="1:7" x14ac:dyDescent="0.25">
      <c r="A45">
        <v>44</v>
      </c>
      <c r="B45" s="3">
        <f t="shared" si="0"/>
        <v>56346.469070744279</v>
      </c>
      <c r="C45" s="3">
        <v>44294.224505585822</v>
      </c>
      <c r="D45" s="3">
        <v>12052.24456515846</v>
      </c>
      <c r="E45" s="3">
        <f t="shared" si="1"/>
        <v>1401975.1233134293</v>
      </c>
      <c r="F45" s="6"/>
      <c r="G45" s="6"/>
    </row>
    <row r="46" spans="1:7" x14ac:dyDescent="0.25">
      <c r="A46">
        <v>45</v>
      </c>
      <c r="B46" s="3">
        <f t="shared" si="0"/>
        <v>56346.469070744279</v>
      </c>
      <c r="C46" s="3">
        <v>44663.343043132365</v>
      </c>
      <c r="D46" s="3">
        <v>11683.12602761191</v>
      </c>
      <c r="E46" s="3">
        <f t="shared" si="1"/>
        <v>1357311.7802702968</v>
      </c>
      <c r="F46" s="6"/>
      <c r="G46" s="6"/>
    </row>
    <row r="47" spans="1:7" x14ac:dyDescent="0.25">
      <c r="A47">
        <v>46</v>
      </c>
      <c r="B47" s="3">
        <f t="shared" si="0"/>
        <v>56346.469070744279</v>
      </c>
      <c r="C47" s="3">
        <v>45035.537568491804</v>
      </c>
      <c r="D47" s="3">
        <v>11310.931502252473</v>
      </c>
      <c r="E47" s="3">
        <f t="shared" si="1"/>
        <v>1312276.242701805</v>
      </c>
      <c r="F47" s="6"/>
      <c r="G47" s="6"/>
    </row>
    <row r="48" spans="1:7" x14ac:dyDescent="0.25">
      <c r="A48">
        <v>47</v>
      </c>
      <c r="B48" s="3">
        <f t="shared" si="0"/>
        <v>56346.469070744279</v>
      </c>
      <c r="C48" s="3">
        <v>45410.833714895904</v>
      </c>
      <c r="D48" s="3">
        <v>10935.635355848375</v>
      </c>
      <c r="E48" s="3">
        <f t="shared" si="1"/>
        <v>1266865.4089869091</v>
      </c>
      <c r="F48" s="6"/>
      <c r="G48" s="6"/>
    </row>
    <row r="49" spans="1:7" x14ac:dyDescent="0.25">
      <c r="A49">
        <v>48</v>
      </c>
      <c r="B49" s="3">
        <f t="shared" si="0"/>
        <v>56346.469070744279</v>
      </c>
      <c r="C49" s="3">
        <v>45789.257329186701</v>
      </c>
      <c r="D49" s="3">
        <v>10557.211741557576</v>
      </c>
      <c r="E49" s="3">
        <f t="shared" si="1"/>
        <v>1221076.1516577224</v>
      </c>
      <c r="F49" s="6"/>
      <c r="G49" s="6"/>
    </row>
    <row r="50" spans="1:7" x14ac:dyDescent="0.25">
      <c r="A50">
        <v>49</v>
      </c>
      <c r="B50" s="3">
        <f t="shared" si="0"/>
        <v>56346.469070744279</v>
      </c>
      <c r="C50" s="3">
        <v>46170.834473596595</v>
      </c>
      <c r="D50" s="3">
        <v>10175.634597147688</v>
      </c>
      <c r="E50" s="3">
        <f t="shared" si="1"/>
        <v>1174905.3171841258</v>
      </c>
      <c r="F50" s="6"/>
      <c r="G50" s="6"/>
    </row>
    <row r="51" spans="1:7" x14ac:dyDescent="0.25">
      <c r="A51">
        <v>50</v>
      </c>
      <c r="B51" s="3">
        <f t="shared" si="0"/>
        <v>56346.469070744279</v>
      </c>
      <c r="C51" s="3">
        <v>46555.59142754323</v>
      </c>
      <c r="D51" s="3">
        <v>9790.8776432010472</v>
      </c>
      <c r="E51" s="3">
        <f t="shared" si="1"/>
        <v>1128349.7257565826</v>
      </c>
      <c r="F51" s="6"/>
      <c r="G51" s="6"/>
    </row>
    <row r="52" spans="1:7" x14ac:dyDescent="0.25">
      <c r="A52">
        <v>51</v>
      </c>
      <c r="B52" s="3">
        <f t="shared" si="0"/>
        <v>56346.469070744279</v>
      </c>
      <c r="C52" s="3">
        <v>46943.554689439421</v>
      </c>
      <c r="D52" s="3">
        <v>9402.914381304854</v>
      </c>
      <c r="E52" s="3">
        <f t="shared" si="1"/>
        <v>1081406.1710671431</v>
      </c>
      <c r="F52" s="6"/>
      <c r="G52" s="6"/>
    </row>
    <row r="53" spans="1:7" x14ac:dyDescent="0.25">
      <c r="A53">
        <v>52</v>
      </c>
      <c r="B53" s="3">
        <f t="shared" si="0"/>
        <v>56346.469070744279</v>
      </c>
      <c r="C53" s="3">
        <v>47334.750978518088</v>
      </c>
      <c r="D53" s="3">
        <v>9011.7180922261923</v>
      </c>
      <c r="E53" s="3">
        <f t="shared" si="1"/>
        <v>1034071.420088625</v>
      </c>
      <c r="F53" s="6"/>
      <c r="G53" s="6"/>
    </row>
    <row r="54" spans="1:7" x14ac:dyDescent="0.25">
      <c r="A54">
        <v>53</v>
      </c>
      <c r="B54" s="3">
        <f t="shared" si="0"/>
        <v>56346.469070744279</v>
      </c>
      <c r="C54" s="3">
        <v>47729.207236672402</v>
      </c>
      <c r="D54" s="3">
        <v>8617.2618340718745</v>
      </c>
      <c r="E54" s="3">
        <f t="shared" si="1"/>
        <v>986342.21285195264</v>
      </c>
      <c r="F54" s="6"/>
      <c r="G54" s="6"/>
    </row>
    <row r="55" spans="1:7" x14ac:dyDescent="0.25">
      <c r="A55">
        <v>54</v>
      </c>
      <c r="B55" s="3">
        <f t="shared" si="0"/>
        <v>56346.469070744279</v>
      </c>
      <c r="C55" s="3">
        <v>48126.950630311338</v>
      </c>
      <c r="D55" s="3">
        <v>8219.5184404329393</v>
      </c>
      <c r="E55" s="3">
        <f t="shared" si="1"/>
        <v>938215.26222164126</v>
      </c>
      <c r="F55" s="6"/>
      <c r="G55" s="6"/>
    </row>
    <row r="56" spans="1:7" x14ac:dyDescent="0.25">
      <c r="A56">
        <v>55</v>
      </c>
      <c r="B56" s="3">
        <f t="shared" si="0"/>
        <v>56346.469070744279</v>
      </c>
      <c r="C56" s="3">
        <v>48528.008552230604</v>
      </c>
      <c r="D56" s="3">
        <v>7818.460518513677</v>
      </c>
      <c r="E56" s="3">
        <f t="shared" si="1"/>
        <v>889687.25366941071</v>
      </c>
      <c r="F56" s="6"/>
      <c r="G56" s="6"/>
    </row>
    <row r="57" spans="1:7" x14ac:dyDescent="0.25">
      <c r="A57">
        <v>56</v>
      </c>
      <c r="B57" s="3">
        <f t="shared" si="0"/>
        <v>56346.469070744279</v>
      </c>
      <c r="C57" s="3">
        <v>48932.408623499192</v>
      </c>
      <c r="D57" s="3">
        <v>7414.0604472450896</v>
      </c>
      <c r="E57" s="3">
        <f t="shared" si="1"/>
        <v>840754.8450459115</v>
      </c>
      <c r="F57" s="6"/>
      <c r="G57" s="6"/>
    </row>
    <row r="58" spans="1:7" x14ac:dyDescent="0.25">
      <c r="A58">
        <v>57</v>
      </c>
      <c r="B58" s="3">
        <f t="shared" si="0"/>
        <v>56346.469070744279</v>
      </c>
      <c r="C58" s="3">
        <v>49340.178695361683</v>
      </c>
      <c r="D58" s="3">
        <v>7006.2903753825958</v>
      </c>
      <c r="E58" s="3">
        <f t="shared" si="1"/>
        <v>791414.66635054979</v>
      </c>
      <c r="F58" s="6"/>
      <c r="G58" s="6"/>
    </row>
    <row r="59" spans="1:7" x14ac:dyDescent="0.25">
      <c r="A59">
        <v>58</v>
      </c>
      <c r="B59" s="3">
        <f t="shared" si="0"/>
        <v>56346.469070744279</v>
      </c>
      <c r="C59" s="3">
        <v>49751.346851156362</v>
      </c>
      <c r="D59" s="3">
        <v>6595.1222195879145</v>
      </c>
      <c r="E59" s="3">
        <f t="shared" si="1"/>
        <v>741663.31949939346</v>
      </c>
      <c r="F59" s="6"/>
      <c r="G59" s="6"/>
    </row>
    <row r="60" spans="1:7" x14ac:dyDescent="0.25">
      <c r="A60">
        <v>59</v>
      </c>
      <c r="B60" s="3">
        <f t="shared" si="0"/>
        <v>56346.469070744279</v>
      </c>
      <c r="C60" s="3">
        <v>50165.941408249331</v>
      </c>
      <c r="D60" s="3">
        <v>6180.5276624949456</v>
      </c>
      <c r="E60" s="3">
        <f t="shared" si="1"/>
        <v>691497.37809114414</v>
      </c>
      <c r="F60" s="6"/>
      <c r="G60" s="6"/>
    </row>
    <row r="61" spans="1:7" x14ac:dyDescent="0.25">
      <c r="A61">
        <v>60</v>
      </c>
      <c r="B61" s="3">
        <f t="shared" si="0"/>
        <v>56346.469070744279</v>
      </c>
      <c r="C61" s="3">
        <v>50583.990919984746</v>
      </c>
      <c r="D61" s="3">
        <v>5762.4781507595344</v>
      </c>
      <c r="E61" s="3">
        <f t="shared" si="1"/>
        <v>640913.38717115938</v>
      </c>
      <c r="F61" s="6"/>
      <c r="G61" s="6"/>
    </row>
    <row r="62" spans="1:7" x14ac:dyDescent="0.25">
      <c r="A62">
        <v>61</v>
      </c>
      <c r="B62" s="3">
        <f t="shared" si="0"/>
        <v>56346.469070744279</v>
      </c>
      <c r="C62" s="3">
        <v>51005.524177651285</v>
      </c>
      <c r="D62" s="3">
        <v>5340.9448930929948</v>
      </c>
      <c r="E62" s="3">
        <f t="shared" si="1"/>
        <v>589907.86299350811</v>
      </c>
      <c r="F62" s="6"/>
      <c r="G62" s="6"/>
    </row>
    <row r="63" spans="1:7" x14ac:dyDescent="0.25">
      <c r="A63">
        <v>62</v>
      </c>
      <c r="B63" s="3">
        <f t="shared" si="0"/>
        <v>56346.469070744279</v>
      </c>
      <c r="C63" s="3">
        <v>51430.570212465042</v>
      </c>
      <c r="D63" s="3">
        <v>4915.8988582792344</v>
      </c>
      <c r="E63" s="3">
        <f t="shared" si="1"/>
        <v>538477.2927810431</v>
      </c>
      <c r="F63" s="6"/>
      <c r="G63" s="6"/>
    </row>
    <row r="64" spans="1:7" x14ac:dyDescent="0.25">
      <c r="A64">
        <v>63</v>
      </c>
      <c r="B64" s="3">
        <f t="shared" si="0"/>
        <v>56346.469070744279</v>
      </c>
      <c r="C64" s="3">
        <v>51859.158297568923</v>
      </c>
      <c r="D64" s="3">
        <v>4487.3107731753589</v>
      </c>
      <c r="E64" s="3">
        <f t="shared" si="1"/>
        <v>486618.13448347419</v>
      </c>
      <c r="F64" s="6"/>
      <c r="G64" s="6"/>
    </row>
    <row r="65" spans="1:7" x14ac:dyDescent="0.25">
      <c r="A65">
        <v>64</v>
      </c>
      <c r="B65" s="3">
        <f t="shared" si="0"/>
        <v>56346.469070744279</v>
      </c>
      <c r="C65" s="3">
        <v>52291.317950048659</v>
      </c>
      <c r="D65" s="3">
        <v>4055.1511206956184</v>
      </c>
      <c r="E65" s="3">
        <f t="shared" si="1"/>
        <v>434326.81653342553</v>
      </c>
      <c r="F65" s="6"/>
      <c r="G65" s="6"/>
    </row>
    <row r="66" spans="1:7" x14ac:dyDescent="0.25">
      <c r="A66">
        <v>65</v>
      </c>
      <c r="B66" s="3">
        <f t="shared" si="0"/>
        <v>56346.469070744279</v>
      </c>
      <c r="C66" s="3">
        <v>52727.078932965735</v>
      </c>
      <c r="D66" s="3">
        <v>3619.390137778546</v>
      </c>
      <c r="E66" s="3">
        <f t="shared" si="1"/>
        <v>381599.73760045978</v>
      </c>
      <c r="F66" s="6"/>
      <c r="G66" s="6"/>
    </row>
    <row r="67" spans="1:7" x14ac:dyDescent="0.25">
      <c r="A67">
        <v>66</v>
      </c>
      <c r="B67" s="3">
        <f t="shared" si="0"/>
        <v>56346.469070744279</v>
      </c>
      <c r="C67" s="3">
        <v>53166.471257407116</v>
      </c>
      <c r="D67" s="3">
        <v>3179.9978133371646</v>
      </c>
      <c r="E67" s="3">
        <f t="shared" si="1"/>
        <v>328433.26634305267</v>
      </c>
      <c r="F67" s="6"/>
      <c r="G67" s="6"/>
    </row>
    <row r="68" spans="1:7" x14ac:dyDescent="0.25">
      <c r="A68">
        <v>67</v>
      </c>
      <c r="B68" s="3">
        <f t="shared" si="0"/>
        <v>56346.469070744279</v>
      </c>
      <c r="C68" s="3">
        <v>53609.525184552171</v>
      </c>
      <c r="D68" s="3">
        <v>2736.9438861921058</v>
      </c>
      <c r="E68" s="3">
        <f t="shared" si="1"/>
        <v>274823.74115850049</v>
      </c>
      <c r="F68" s="6"/>
      <c r="G68" s="6"/>
    </row>
    <row r="69" spans="1:7" x14ac:dyDescent="0.25">
      <c r="A69">
        <v>68</v>
      </c>
      <c r="B69" s="3">
        <f t="shared" si="0"/>
        <v>56346.469070744279</v>
      </c>
      <c r="C69" s="3">
        <v>54056.271227756777</v>
      </c>
      <c r="D69" s="3">
        <v>2290.1978429875039</v>
      </c>
      <c r="E69" s="3">
        <f t="shared" si="1"/>
        <v>220767.46993074371</v>
      </c>
      <c r="F69" s="6"/>
      <c r="G69" s="6"/>
    </row>
    <row r="70" spans="1:7" x14ac:dyDescent="0.25">
      <c r="A70">
        <v>69</v>
      </c>
      <c r="B70" s="3">
        <f t="shared" si="0"/>
        <v>56346.469070744279</v>
      </c>
      <c r="C70" s="3">
        <v>54506.740154654748</v>
      </c>
      <c r="D70" s="3">
        <v>1839.7289160895309</v>
      </c>
      <c r="E70" s="3">
        <f t="shared" si="1"/>
        <v>166260.72977608896</v>
      </c>
      <c r="F70" s="6"/>
      <c r="G70" s="6"/>
    </row>
    <row r="71" spans="1:7" x14ac:dyDescent="0.25">
      <c r="A71">
        <v>70</v>
      </c>
      <c r="B71" s="3">
        <f t="shared" si="0"/>
        <v>56346.469070744279</v>
      </c>
      <c r="C71" s="3">
        <v>54960.962989276872</v>
      </c>
      <c r="D71" s="3">
        <v>1385.506081467408</v>
      </c>
      <c r="E71" s="3">
        <f t="shared" si="1"/>
        <v>111299.76678681209</v>
      </c>
      <c r="F71" s="6"/>
      <c r="G71" s="6"/>
    </row>
    <row r="72" spans="1:7" x14ac:dyDescent="0.25">
      <c r="A72">
        <v>71</v>
      </c>
      <c r="B72" s="3">
        <f t="shared" si="0"/>
        <v>56346.469070744279</v>
      </c>
      <c r="C72" s="3">
        <v>55418.971014187511</v>
      </c>
      <c r="D72" s="3">
        <v>927.49805655676744</v>
      </c>
      <c r="E72" s="3">
        <f t="shared" si="1"/>
        <v>55880.79577262458</v>
      </c>
      <c r="F72" s="6"/>
      <c r="G72" s="6"/>
    </row>
    <row r="73" spans="1:7" x14ac:dyDescent="0.25">
      <c r="A73">
        <v>72</v>
      </c>
      <c r="B73" s="3">
        <f t="shared" si="0"/>
        <v>56346.469070744279</v>
      </c>
      <c r="C73" s="3">
        <v>55880.795772639074</v>
      </c>
      <c r="D73" s="3">
        <v>465.67329810520482</v>
      </c>
      <c r="E73" s="3">
        <f t="shared" si="1"/>
        <v>-1.4493707567453384E-8</v>
      </c>
      <c r="F73" s="6"/>
      <c r="G73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selection activeCell="D2" sqref="D2"/>
    </sheetView>
  </sheetViews>
  <sheetFormatPr baseColWidth="10" defaultColWidth="8.85546875" defaultRowHeight="15" x14ac:dyDescent="0.25"/>
  <cols>
    <col min="1" max="1" width="5.42578125" bestFit="1" customWidth="1"/>
    <col min="2" max="2" width="13.85546875" style="3" bestFit="1" customWidth="1"/>
    <col min="3" max="3" width="21" style="3" bestFit="1" customWidth="1"/>
    <col min="4" max="4" width="15.140625" style="3" bestFit="1" customWidth="1"/>
    <col min="5" max="5" width="15.85546875" style="3" bestFit="1" customWidth="1"/>
    <col min="6" max="6" width="13.85546875" style="3" bestFit="1" customWidth="1"/>
  </cols>
  <sheetData>
    <row r="1" spans="1:6" x14ac:dyDescent="0.25">
      <c r="A1" s="1" t="s">
        <v>15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 x14ac:dyDescent="0.25">
      <c r="A2">
        <v>1</v>
      </c>
      <c r="B2" s="3">
        <f>Revenus!E2</f>
        <v>0</v>
      </c>
      <c r="C2" s="3">
        <f>Charges!J2</f>
        <v>8700</v>
      </c>
      <c r="D2" s="3">
        <f>Leasing!D2</f>
        <v>22099.73</v>
      </c>
      <c r="E2" s="3">
        <f>Leasing!C2</f>
        <v>0</v>
      </c>
      <c r="F2" s="3">
        <f>B2-C2-D2-E2</f>
        <v>-30799.73</v>
      </c>
    </row>
    <row r="3" spans="1:6" x14ac:dyDescent="0.25">
      <c r="A3">
        <v>2</v>
      </c>
      <c r="B3" s="3">
        <f>Revenus!E3</f>
        <v>0</v>
      </c>
      <c r="C3" s="3">
        <f>Charges!J3</f>
        <v>57700</v>
      </c>
      <c r="D3" s="3">
        <f>Leasing!D3</f>
        <v>22099.73</v>
      </c>
      <c r="E3" s="3">
        <f>Leasing!C3</f>
        <v>0</v>
      </c>
      <c r="F3" s="3">
        <f t="shared" ref="F3:F66" si="0">B3-C3-D3-E3</f>
        <v>-79799.73</v>
      </c>
    </row>
    <row r="4" spans="1:6" x14ac:dyDescent="0.25">
      <c r="A4">
        <v>3</v>
      </c>
      <c r="B4" s="3">
        <f>Revenus!E4</f>
        <v>38178</v>
      </c>
      <c r="C4" s="3">
        <f>Charges!J4</f>
        <v>10100</v>
      </c>
      <c r="D4" s="3">
        <f>Leasing!D4</f>
        <v>22099.73</v>
      </c>
      <c r="E4" s="3">
        <f>Leasing!C4</f>
        <v>0</v>
      </c>
      <c r="F4" s="3">
        <f t="shared" si="0"/>
        <v>5978.27</v>
      </c>
    </row>
    <row r="5" spans="1:6" x14ac:dyDescent="0.25">
      <c r="A5">
        <v>4</v>
      </c>
      <c r="B5" s="3">
        <f>Revenus!E5</f>
        <v>38178</v>
      </c>
      <c r="C5" s="3">
        <f>Charges!J5</f>
        <v>10100</v>
      </c>
      <c r="D5" s="3">
        <f>Leasing!D5</f>
        <v>22099.73</v>
      </c>
      <c r="E5" s="3">
        <f>Leasing!C5</f>
        <v>0</v>
      </c>
      <c r="F5" s="3">
        <f t="shared" si="0"/>
        <v>5978.27</v>
      </c>
    </row>
    <row r="6" spans="1:6" x14ac:dyDescent="0.25">
      <c r="A6">
        <v>5</v>
      </c>
      <c r="B6" s="3">
        <f>Revenus!E6</f>
        <v>38178</v>
      </c>
      <c r="C6" s="3">
        <f>Charges!J6</f>
        <v>59100</v>
      </c>
      <c r="D6" s="3">
        <f>Leasing!D6</f>
        <v>22099.73</v>
      </c>
      <c r="E6" s="3">
        <f>Leasing!C6</f>
        <v>0</v>
      </c>
      <c r="F6" s="3">
        <f t="shared" si="0"/>
        <v>-43021.729999999996</v>
      </c>
    </row>
    <row r="7" spans="1:6" x14ac:dyDescent="0.25">
      <c r="A7">
        <v>6</v>
      </c>
      <c r="B7" s="3">
        <f>Revenus!E7</f>
        <v>76356</v>
      </c>
      <c r="C7" s="3">
        <f>Charges!J7</f>
        <v>11500</v>
      </c>
      <c r="D7" s="3">
        <f>Leasing!D7</f>
        <v>22099.73</v>
      </c>
      <c r="E7" s="3">
        <f>Leasing!C7</f>
        <v>0</v>
      </c>
      <c r="F7" s="3">
        <f t="shared" si="0"/>
        <v>42756.270000000004</v>
      </c>
    </row>
    <row r="8" spans="1:6" x14ac:dyDescent="0.25">
      <c r="A8">
        <v>7</v>
      </c>
      <c r="B8" s="3">
        <f>Revenus!E8</f>
        <v>76356</v>
      </c>
      <c r="C8" s="3">
        <f>Charges!J8</f>
        <v>11500</v>
      </c>
      <c r="D8" s="3">
        <f>Leasing!D8</f>
        <v>22099.73</v>
      </c>
      <c r="E8" s="3">
        <f>Leasing!C8</f>
        <v>0</v>
      </c>
      <c r="F8" s="3">
        <f t="shared" si="0"/>
        <v>42756.270000000004</v>
      </c>
    </row>
    <row r="9" spans="1:6" x14ac:dyDescent="0.25">
      <c r="A9">
        <v>8</v>
      </c>
      <c r="B9" s="3">
        <f>Revenus!E9</f>
        <v>76356</v>
      </c>
      <c r="C9" s="3">
        <f>Charges!J9</f>
        <v>60500</v>
      </c>
      <c r="D9" s="3">
        <f>Leasing!D9</f>
        <v>22099.73</v>
      </c>
      <c r="E9" s="3">
        <f>Leasing!C9</f>
        <v>0</v>
      </c>
      <c r="F9" s="3">
        <f t="shared" si="0"/>
        <v>-6243.73</v>
      </c>
    </row>
    <row r="10" spans="1:6" x14ac:dyDescent="0.25">
      <c r="A10">
        <v>9</v>
      </c>
      <c r="B10" s="3">
        <f>Revenus!E10</f>
        <v>114534</v>
      </c>
      <c r="C10" s="3">
        <f>Charges!J10</f>
        <v>12900</v>
      </c>
      <c r="D10" s="3">
        <f>Leasing!D10</f>
        <v>22099.73</v>
      </c>
      <c r="E10" s="3">
        <f>Leasing!C10</f>
        <v>0</v>
      </c>
      <c r="F10" s="3">
        <f t="shared" si="0"/>
        <v>79534.27</v>
      </c>
    </row>
    <row r="11" spans="1:6" x14ac:dyDescent="0.25">
      <c r="A11">
        <v>10</v>
      </c>
      <c r="B11" s="3">
        <f>Revenus!E11</f>
        <v>114534</v>
      </c>
      <c r="C11" s="3">
        <f>Charges!J11</f>
        <v>12900</v>
      </c>
      <c r="D11" s="3">
        <f>Leasing!D11</f>
        <v>22099.73</v>
      </c>
      <c r="E11" s="3">
        <f>Leasing!C11</f>
        <v>0</v>
      </c>
      <c r="F11" s="3">
        <f t="shared" si="0"/>
        <v>79534.27</v>
      </c>
    </row>
    <row r="12" spans="1:6" x14ac:dyDescent="0.25">
      <c r="A12">
        <v>11</v>
      </c>
      <c r="B12" s="3">
        <f>Revenus!E12</f>
        <v>114534</v>
      </c>
      <c r="C12" s="3">
        <f>Charges!J12</f>
        <v>61900</v>
      </c>
      <c r="D12" s="3">
        <f>Leasing!D12</f>
        <v>22099.73</v>
      </c>
      <c r="E12" s="3">
        <f>Leasing!C12</f>
        <v>0</v>
      </c>
      <c r="F12" s="3">
        <f t="shared" si="0"/>
        <v>30534.27</v>
      </c>
    </row>
    <row r="13" spans="1:6" x14ac:dyDescent="0.25">
      <c r="A13">
        <v>12</v>
      </c>
      <c r="B13" s="3">
        <f>Revenus!E13</f>
        <v>152712</v>
      </c>
      <c r="C13" s="3">
        <f>Charges!J13</f>
        <v>14300</v>
      </c>
      <c r="D13" s="3">
        <f>Leasing!D13</f>
        <v>22099.73</v>
      </c>
      <c r="E13" s="3">
        <f>Leasing!C13</f>
        <v>0</v>
      </c>
      <c r="F13" s="3">
        <f t="shared" si="0"/>
        <v>116312.27</v>
      </c>
    </row>
    <row r="14" spans="1:6" x14ac:dyDescent="0.25">
      <c r="A14">
        <v>13</v>
      </c>
      <c r="B14" s="3">
        <f>Revenus!E14</f>
        <v>152712</v>
      </c>
      <c r="C14" s="3">
        <f>Charges!J14</f>
        <v>19500</v>
      </c>
      <c r="D14" s="3">
        <f>Leasing!D14</f>
        <v>22099.727999999999</v>
      </c>
      <c r="E14" s="3">
        <f>Leasing!C14</f>
        <v>34246.741070744276</v>
      </c>
      <c r="F14" s="3">
        <f t="shared" si="0"/>
        <v>76865.530929255721</v>
      </c>
    </row>
    <row r="15" spans="1:6" x14ac:dyDescent="0.25">
      <c r="A15">
        <v>14</v>
      </c>
      <c r="B15" s="3">
        <f>Revenus!E15</f>
        <v>152712</v>
      </c>
      <c r="C15" s="3">
        <f>Charges!J15</f>
        <v>19500</v>
      </c>
      <c r="D15" s="3">
        <f>Leasing!D15</f>
        <v>21814.338491077131</v>
      </c>
      <c r="E15" s="3">
        <f>Leasing!C15</f>
        <v>34532.130579667151</v>
      </c>
      <c r="F15" s="3">
        <f t="shared" si="0"/>
        <v>76865.530929255721</v>
      </c>
    </row>
    <row r="16" spans="1:6" x14ac:dyDescent="0.25">
      <c r="A16">
        <v>15</v>
      </c>
      <c r="B16" s="3">
        <f>Revenus!E16</f>
        <v>152712</v>
      </c>
      <c r="C16" s="3">
        <f>Charges!J16</f>
        <v>68500</v>
      </c>
      <c r="D16" s="3">
        <f>Leasing!D16</f>
        <v>21526.570736246573</v>
      </c>
      <c r="E16" s="3">
        <f>Leasing!C16</f>
        <v>34819.898334497702</v>
      </c>
      <c r="F16" s="3">
        <f t="shared" si="0"/>
        <v>27865.530929255721</v>
      </c>
    </row>
    <row r="17" spans="1:6" x14ac:dyDescent="0.25">
      <c r="A17">
        <v>16</v>
      </c>
      <c r="B17" s="3">
        <f>Revenus!E17</f>
        <v>190890</v>
      </c>
      <c r="C17" s="3">
        <f>Charges!J17</f>
        <v>20900</v>
      </c>
      <c r="D17" s="3">
        <f>Leasing!D17</f>
        <v>21236.404916792424</v>
      </c>
      <c r="E17" s="3">
        <f>Leasing!C17</f>
        <v>35110.064153951855</v>
      </c>
      <c r="F17" s="3">
        <f t="shared" si="0"/>
        <v>113643.53092925574</v>
      </c>
    </row>
    <row r="18" spans="1:6" x14ac:dyDescent="0.25">
      <c r="A18">
        <v>17</v>
      </c>
      <c r="B18" s="3">
        <f>Revenus!E18</f>
        <v>190890</v>
      </c>
      <c r="C18" s="3">
        <f>Charges!J18</f>
        <v>20900</v>
      </c>
      <c r="D18" s="3">
        <f>Leasing!D18</f>
        <v>20943.821048842823</v>
      </c>
      <c r="E18" s="3">
        <f>Leasing!C18</f>
        <v>35402.648021901456</v>
      </c>
      <c r="F18" s="3">
        <f t="shared" si="0"/>
        <v>113643.53092925571</v>
      </c>
    </row>
    <row r="19" spans="1:6" x14ac:dyDescent="0.25">
      <c r="A19">
        <v>18</v>
      </c>
      <c r="B19" s="3">
        <f>Revenus!E19</f>
        <v>190890</v>
      </c>
      <c r="C19" s="3">
        <f>Charges!J19</f>
        <v>20900</v>
      </c>
      <c r="D19" s="3">
        <f>Leasing!D19</f>
        <v>20648.798981993645</v>
      </c>
      <c r="E19" s="3">
        <f>Leasing!C19</f>
        <v>35697.67008875063</v>
      </c>
      <c r="F19" s="3">
        <f t="shared" si="0"/>
        <v>113643.53092925574</v>
      </c>
    </row>
    <row r="20" spans="1:6" x14ac:dyDescent="0.25">
      <c r="A20">
        <v>19</v>
      </c>
      <c r="B20" s="3">
        <f>Revenus!E20</f>
        <v>190890</v>
      </c>
      <c r="C20" s="3">
        <f>Charges!J20</f>
        <v>69900</v>
      </c>
      <c r="D20" s="3">
        <f>Leasing!D20</f>
        <v>20351.318397920721</v>
      </c>
      <c r="E20" s="3">
        <f>Leasing!C20</f>
        <v>35995.150672823554</v>
      </c>
      <c r="F20" s="3">
        <f t="shared" si="0"/>
        <v>64643.530929255721</v>
      </c>
    </row>
    <row r="21" spans="1:6" x14ac:dyDescent="0.25">
      <c r="A21">
        <v>20</v>
      </c>
      <c r="B21" s="3">
        <f>Revenus!E21</f>
        <v>229068</v>
      </c>
      <c r="C21" s="3">
        <f>Charges!J21</f>
        <v>22300</v>
      </c>
      <c r="D21" s="3">
        <f>Leasing!D21</f>
        <v>20051.358808980523</v>
      </c>
      <c r="E21" s="3">
        <f>Leasing!C21</f>
        <v>36295.110261763752</v>
      </c>
      <c r="F21" s="3">
        <f t="shared" si="0"/>
        <v>150421.53092925571</v>
      </c>
    </row>
    <row r="22" spans="1:6" x14ac:dyDescent="0.25">
      <c r="A22">
        <v>21</v>
      </c>
      <c r="B22" s="3">
        <f>Revenus!E22</f>
        <v>229068</v>
      </c>
      <c r="C22" s="3">
        <f>Charges!J22</f>
        <v>22300</v>
      </c>
      <c r="D22" s="3">
        <f>Leasing!D22</f>
        <v>19748.899556799159</v>
      </c>
      <c r="E22" s="3">
        <f>Leasing!C22</f>
        <v>36597.56951394512</v>
      </c>
      <c r="F22" s="3">
        <f t="shared" si="0"/>
        <v>150421.53092925574</v>
      </c>
    </row>
    <row r="23" spans="1:6" x14ac:dyDescent="0.25">
      <c r="A23">
        <v>22</v>
      </c>
      <c r="B23" s="3">
        <f>Revenus!E23</f>
        <v>229068</v>
      </c>
      <c r="C23" s="3">
        <f>Charges!J23</f>
        <v>22300</v>
      </c>
      <c r="D23" s="3">
        <f>Leasing!D23</f>
        <v>19443.919810849617</v>
      </c>
      <c r="E23" s="3">
        <f>Leasing!C23</f>
        <v>36902.549259894658</v>
      </c>
      <c r="F23" s="3">
        <f t="shared" si="0"/>
        <v>150421.53092925571</v>
      </c>
    </row>
    <row r="24" spans="1:6" x14ac:dyDescent="0.25">
      <c r="A24">
        <v>23</v>
      </c>
      <c r="B24" s="3">
        <f>Revenus!E24</f>
        <v>229068</v>
      </c>
      <c r="C24" s="3">
        <f>Charges!J24</f>
        <v>71300</v>
      </c>
      <c r="D24" s="3">
        <f>Leasing!D24</f>
        <v>19136.398567017164</v>
      </c>
      <c r="E24" s="3">
        <f>Leasing!C24</f>
        <v>37210.070503727111</v>
      </c>
      <c r="F24" s="3">
        <f t="shared" si="0"/>
        <v>101421.53092925572</v>
      </c>
    </row>
    <row r="25" spans="1:6" x14ac:dyDescent="0.25">
      <c r="A25">
        <v>24</v>
      </c>
      <c r="B25" s="3">
        <f>Revenus!E25</f>
        <v>267246</v>
      </c>
      <c r="C25" s="3">
        <f>Charges!J25</f>
        <v>123700</v>
      </c>
      <c r="D25" s="3">
        <f>Leasing!D25</f>
        <v>18826.314646152772</v>
      </c>
      <c r="E25" s="3">
        <f>Leasing!C25</f>
        <v>37520.154424591507</v>
      </c>
      <c r="F25" s="3">
        <f t="shared" si="0"/>
        <v>87199.530929255707</v>
      </c>
    </row>
    <row r="26" spans="1:6" x14ac:dyDescent="0.25">
      <c r="A26">
        <v>25</v>
      </c>
      <c r="B26" s="3">
        <f>Revenus!E26</f>
        <v>267246</v>
      </c>
      <c r="C26" s="3">
        <f>Charges!J26</f>
        <v>23700</v>
      </c>
      <c r="D26" s="3">
        <f>Leasing!D26</f>
        <v>18513.646692614508</v>
      </c>
      <c r="E26" s="3">
        <f>Leasing!C26</f>
        <v>37832.822378129771</v>
      </c>
      <c r="F26" s="3">
        <f t="shared" si="0"/>
        <v>187199.53092925571</v>
      </c>
    </row>
    <row r="27" spans="1:6" x14ac:dyDescent="0.25">
      <c r="A27">
        <v>26</v>
      </c>
      <c r="B27" s="3">
        <f>Revenus!E27</f>
        <v>267246</v>
      </c>
      <c r="C27" s="3">
        <f>Charges!J27</f>
        <v>23700</v>
      </c>
      <c r="D27" s="3">
        <f>Leasing!D27</f>
        <v>18198.373172796761</v>
      </c>
      <c r="E27" s="3">
        <f>Leasing!C27</f>
        <v>38148.095897947518</v>
      </c>
      <c r="F27" s="3">
        <f t="shared" si="0"/>
        <v>187199.53092925571</v>
      </c>
    </row>
    <row r="28" spans="1:6" x14ac:dyDescent="0.25">
      <c r="A28">
        <v>27</v>
      </c>
      <c r="B28" s="3">
        <f>Revenus!E28</f>
        <v>267246</v>
      </c>
      <c r="C28" s="3">
        <f>Charges!J28</f>
        <v>72700</v>
      </c>
      <c r="D28" s="3">
        <f>Leasing!D28</f>
        <v>17880.472373647201</v>
      </c>
      <c r="E28" s="3">
        <f>Leasing!C28</f>
        <v>38465.996697097078</v>
      </c>
      <c r="F28" s="3">
        <f t="shared" si="0"/>
        <v>138199.53092925571</v>
      </c>
    </row>
    <row r="29" spans="1:6" x14ac:dyDescent="0.25">
      <c r="A29">
        <v>28</v>
      </c>
      <c r="B29" s="3">
        <f>Revenus!E29</f>
        <v>305424</v>
      </c>
      <c r="C29" s="3">
        <f>Charges!J29</f>
        <v>25100</v>
      </c>
      <c r="D29" s="3">
        <f>Leasing!D29</f>
        <v>17559.922401171392</v>
      </c>
      <c r="E29" s="3">
        <f>Leasing!C29</f>
        <v>38786.546669572883</v>
      </c>
      <c r="F29" s="3">
        <f t="shared" si="0"/>
        <v>223977.53092925571</v>
      </c>
    </row>
    <row r="30" spans="1:6" x14ac:dyDescent="0.25">
      <c r="A30">
        <v>29</v>
      </c>
      <c r="B30" s="3">
        <f>Revenus!E30</f>
        <v>305424</v>
      </c>
      <c r="C30" s="3">
        <f>Charges!J30</f>
        <v>25100</v>
      </c>
      <c r="D30" s="3">
        <f>Leasing!D30</f>
        <v>17236.701178924952</v>
      </c>
      <c r="E30" s="3">
        <f>Leasing!C30</f>
        <v>39109.767891819327</v>
      </c>
      <c r="F30" s="3">
        <f t="shared" si="0"/>
        <v>223977.53092925574</v>
      </c>
    </row>
    <row r="31" spans="1:6" x14ac:dyDescent="0.25">
      <c r="A31">
        <v>30</v>
      </c>
      <c r="B31" s="3">
        <f>Revenus!E31</f>
        <v>305424</v>
      </c>
      <c r="C31" s="3">
        <f>Charges!J31</f>
        <v>25100</v>
      </c>
      <c r="D31" s="3">
        <f>Leasing!D31</f>
        <v>16910.786446493123</v>
      </c>
      <c r="E31" s="3">
        <f>Leasing!C31</f>
        <v>39435.68262425116</v>
      </c>
      <c r="F31" s="3">
        <f t="shared" si="0"/>
        <v>223977.53092925571</v>
      </c>
    </row>
    <row r="32" spans="1:6" x14ac:dyDescent="0.25">
      <c r="A32">
        <v>31</v>
      </c>
      <c r="B32" s="3">
        <f>Revenus!E32</f>
        <v>305424</v>
      </c>
      <c r="C32" s="3">
        <f>Charges!J32</f>
        <v>74100</v>
      </c>
      <c r="D32" s="3">
        <f>Leasing!D32</f>
        <v>16582.155757957698</v>
      </c>
      <c r="E32" s="3">
        <f>Leasing!C32</f>
        <v>39764.31331278658</v>
      </c>
      <c r="F32" s="3">
        <f t="shared" si="0"/>
        <v>174977.53092925574</v>
      </c>
    </row>
    <row r="33" spans="1:6" x14ac:dyDescent="0.25">
      <c r="A33">
        <v>32</v>
      </c>
      <c r="B33" s="3">
        <f>Revenus!E33</f>
        <v>343602</v>
      </c>
      <c r="C33" s="3">
        <f>Charges!J33</f>
        <v>26500</v>
      </c>
      <c r="D33" s="3">
        <f>Leasing!D33</f>
        <v>16250.786480351142</v>
      </c>
      <c r="E33" s="3">
        <f>Leasing!C33</f>
        <v>40095.682590393139</v>
      </c>
      <c r="F33" s="3">
        <f t="shared" si="0"/>
        <v>260755.53092925574</v>
      </c>
    </row>
    <row r="34" spans="1:6" x14ac:dyDescent="0.25">
      <c r="A34">
        <v>33</v>
      </c>
      <c r="B34" s="3">
        <f>Revenus!E34</f>
        <v>343602</v>
      </c>
      <c r="C34" s="3">
        <f>Charges!J34</f>
        <v>26500</v>
      </c>
      <c r="D34" s="3">
        <f>Leasing!D34</f>
        <v>15916.655792097865</v>
      </c>
      <c r="E34" s="3">
        <f>Leasing!C34</f>
        <v>40429.813278646412</v>
      </c>
      <c r="F34" s="3">
        <f t="shared" si="0"/>
        <v>260755.53092925574</v>
      </c>
    </row>
    <row r="35" spans="1:6" x14ac:dyDescent="0.25">
      <c r="A35">
        <v>34</v>
      </c>
      <c r="B35" s="3">
        <f>Revenus!E35</f>
        <v>343602</v>
      </c>
      <c r="C35" s="3">
        <f>Charges!J35</f>
        <v>26500</v>
      </c>
      <c r="D35" s="3">
        <f>Leasing!D35</f>
        <v>15579.740681442478</v>
      </c>
      <c r="E35" s="3">
        <f>Leasing!C35</f>
        <v>40766.728389301803</v>
      </c>
      <c r="F35" s="3">
        <f t="shared" si="0"/>
        <v>260755.53092925571</v>
      </c>
    </row>
    <row r="36" spans="1:6" x14ac:dyDescent="0.25">
      <c r="A36">
        <v>35</v>
      </c>
      <c r="B36" s="3">
        <f>Revenus!E36</f>
        <v>343602</v>
      </c>
      <c r="C36" s="3">
        <f>Charges!J36</f>
        <v>75500</v>
      </c>
      <c r="D36" s="3">
        <f>Leasing!D36</f>
        <v>15240.017944864963</v>
      </c>
      <c r="E36" s="3">
        <f>Leasing!C36</f>
        <v>41106.451125879314</v>
      </c>
      <c r="F36" s="3">
        <f t="shared" si="0"/>
        <v>211755.53092925574</v>
      </c>
    </row>
    <row r="37" spans="1:6" x14ac:dyDescent="0.25">
      <c r="A37">
        <v>36</v>
      </c>
      <c r="B37" s="3">
        <f>Revenus!E37</f>
        <v>381780</v>
      </c>
      <c r="C37" s="3">
        <f>Charges!J37</f>
        <v>127900</v>
      </c>
      <c r="D37" s="3">
        <f>Leasing!D37</f>
        <v>14897.464185482635</v>
      </c>
      <c r="E37" s="3">
        <f>Leasing!C37</f>
        <v>41449.004885261646</v>
      </c>
      <c r="F37" s="3">
        <f t="shared" si="0"/>
        <v>197533.53092925571</v>
      </c>
    </row>
    <row r="38" spans="1:6" x14ac:dyDescent="0.25">
      <c r="A38">
        <v>37</v>
      </c>
      <c r="B38" s="3">
        <f>Revenus!E38</f>
        <v>381780</v>
      </c>
      <c r="C38" s="3">
        <f>Charges!J38</f>
        <v>27900</v>
      </c>
      <c r="D38" s="3">
        <f>Leasing!D38</f>
        <v>14552.05581143879</v>
      </c>
      <c r="E38" s="3">
        <f>Leasing!C38</f>
        <v>41794.413259305489</v>
      </c>
      <c r="F38" s="3">
        <f t="shared" si="0"/>
        <v>297533.53092925576</v>
      </c>
    </row>
    <row r="39" spans="1:6" x14ac:dyDescent="0.25">
      <c r="A39">
        <v>38</v>
      </c>
      <c r="B39" s="3">
        <f>Revenus!E39</f>
        <v>381780</v>
      </c>
      <c r="C39" s="3">
        <f>Charges!J39</f>
        <v>27900</v>
      </c>
      <c r="D39" s="3">
        <f>Leasing!D39</f>
        <v>14203.76903427791</v>
      </c>
      <c r="E39" s="3">
        <f>Leasing!C39</f>
        <v>42142.700036466369</v>
      </c>
      <c r="F39" s="3">
        <f t="shared" si="0"/>
        <v>297533.53092925576</v>
      </c>
    </row>
    <row r="40" spans="1:6" x14ac:dyDescent="0.25">
      <c r="A40">
        <v>39</v>
      </c>
      <c r="B40" s="3">
        <f>Revenus!E40</f>
        <v>381780</v>
      </c>
      <c r="C40" s="3">
        <f>Charges!J40</f>
        <v>76900</v>
      </c>
      <c r="D40" s="3">
        <f>Leasing!D40</f>
        <v>13852.579867307357</v>
      </c>
      <c r="E40" s="3">
        <f>Leasing!C40</f>
        <v>42493.88920343692</v>
      </c>
      <c r="F40" s="3">
        <f t="shared" si="0"/>
        <v>248533.53092925576</v>
      </c>
    </row>
    <row r="41" spans="1:6" x14ac:dyDescent="0.25">
      <c r="A41">
        <v>40</v>
      </c>
      <c r="B41" s="3">
        <f>Revenus!E41</f>
        <v>419958</v>
      </c>
      <c r="C41" s="3">
        <f>Charges!J41</f>
        <v>29300</v>
      </c>
      <c r="D41" s="3">
        <f>Leasing!D41</f>
        <v>13498.464123945383</v>
      </c>
      <c r="E41" s="3">
        <f>Leasing!C41</f>
        <v>42848.004946798894</v>
      </c>
      <c r="F41" s="3">
        <f t="shared" si="0"/>
        <v>334311.53092925571</v>
      </c>
    </row>
    <row r="42" spans="1:6" x14ac:dyDescent="0.25">
      <c r="A42">
        <v>41</v>
      </c>
      <c r="B42" s="3">
        <f>Revenus!E42</f>
        <v>419958</v>
      </c>
      <c r="C42" s="3">
        <f>Charges!J42</f>
        <v>29300</v>
      </c>
      <c r="D42" s="3">
        <f>Leasing!D42</f>
        <v>13141.397416055392</v>
      </c>
      <c r="E42" s="3">
        <f>Leasing!C42</f>
        <v>43205.071654688887</v>
      </c>
      <c r="F42" s="3">
        <f t="shared" si="0"/>
        <v>334311.53092925576</v>
      </c>
    </row>
    <row r="43" spans="1:6" x14ac:dyDescent="0.25">
      <c r="A43">
        <v>42</v>
      </c>
      <c r="B43" s="3">
        <f>Revenus!E43</f>
        <v>419958</v>
      </c>
      <c r="C43" s="3">
        <f>Charges!J43</f>
        <v>29300</v>
      </c>
      <c r="D43" s="3">
        <f>Leasing!D43</f>
        <v>12781.355152266318</v>
      </c>
      <c r="E43" s="3">
        <f>Leasing!C43</f>
        <v>43565.11391847796</v>
      </c>
      <c r="F43" s="3">
        <f t="shared" si="0"/>
        <v>334311.53092925571</v>
      </c>
    </row>
    <row r="44" spans="1:6" x14ac:dyDescent="0.25">
      <c r="A44">
        <v>43</v>
      </c>
      <c r="B44" s="3">
        <f>Revenus!E44</f>
        <v>419958</v>
      </c>
      <c r="C44" s="3">
        <f>Charges!J44</f>
        <v>78300</v>
      </c>
      <c r="D44" s="3">
        <f>Leasing!D44</f>
        <v>12418.312536279003</v>
      </c>
      <c r="E44" s="3">
        <f>Leasing!C44</f>
        <v>43928.156534465277</v>
      </c>
      <c r="F44" s="3">
        <f t="shared" si="0"/>
        <v>285311.53092925571</v>
      </c>
    </row>
    <row r="45" spans="1:6" x14ac:dyDescent="0.25">
      <c r="A45">
        <v>44</v>
      </c>
      <c r="B45" s="3">
        <f>Revenus!E45</f>
        <v>458136</v>
      </c>
      <c r="C45" s="3">
        <f>Charges!J45</f>
        <v>30700</v>
      </c>
      <c r="D45" s="3">
        <f>Leasing!D45</f>
        <v>12052.24456515846</v>
      </c>
      <c r="E45" s="3">
        <f>Leasing!C45</f>
        <v>44294.224505585822</v>
      </c>
      <c r="F45" s="3">
        <f t="shared" si="0"/>
        <v>371089.53092925576</v>
      </c>
    </row>
    <row r="46" spans="1:6" x14ac:dyDescent="0.25">
      <c r="A46">
        <v>45</v>
      </c>
      <c r="B46" s="3">
        <f>Revenus!E46</f>
        <v>458136</v>
      </c>
      <c r="C46" s="3">
        <f>Charges!J46</f>
        <v>30700</v>
      </c>
      <c r="D46" s="3">
        <f>Leasing!D46</f>
        <v>11683.12602761191</v>
      </c>
      <c r="E46" s="3">
        <f>Leasing!C46</f>
        <v>44663.343043132365</v>
      </c>
      <c r="F46" s="3">
        <f t="shared" si="0"/>
        <v>371089.53092925576</v>
      </c>
    </row>
    <row r="47" spans="1:6" x14ac:dyDescent="0.25">
      <c r="A47">
        <v>46</v>
      </c>
      <c r="B47" s="3">
        <f>Revenus!E47</f>
        <v>458136</v>
      </c>
      <c r="C47" s="3">
        <f>Charges!J47</f>
        <v>30700</v>
      </c>
      <c r="D47" s="3">
        <f>Leasing!D47</f>
        <v>11310.931502252473</v>
      </c>
      <c r="E47" s="3">
        <f>Leasing!C47</f>
        <v>45035.537568491804</v>
      </c>
      <c r="F47" s="3">
        <f t="shared" si="0"/>
        <v>371089.53092925571</v>
      </c>
    </row>
    <row r="48" spans="1:6" x14ac:dyDescent="0.25">
      <c r="A48">
        <v>47</v>
      </c>
      <c r="B48" s="3">
        <f>Revenus!E48</f>
        <v>458136</v>
      </c>
      <c r="C48" s="3">
        <f>Charges!J48</f>
        <v>79700</v>
      </c>
      <c r="D48" s="3">
        <f>Leasing!D48</f>
        <v>10935.635355848375</v>
      </c>
      <c r="E48" s="3">
        <f>Leasing!C48</f>
        <v>45410.833714895904</v>
      </c>
      <c r="F48" s="3">
        <f t="shared" si="0"/>
        <v>322089.53092925576</v>
      </c>
    </row>
    <row r="49" spans="1:6" x14ac:dyDescent="0.25">
      <c r="A49">
        <v>48</v>
      </c>
      <c r="B49" s="3">
        <f>Revenus!E49</f>
        <v>496314</v>
      </c>
      <c r="C49" s="3">
        <f>Charges!J49</f>
        <v>132100</v>
      </c>
      <c r="D49" s="3">
        <f>Leasing!D49</f>
        <v>10557.211741557576</v>
      </c>
      <c r="E49" s="3">
        <f>Leasing!C49</f>
        <v>45789.257329186701</v>
      </c>
      <c r="F49" s="3">
        <f t="shared" si="0"/>
        <v>307867.53092925571</v>
      </c>
    </row>
    <row r="50" spans="1:6" x14ac:dyDescent="0.25">
      <c r="A50">
        <v>49</v>
      </c>
      <c r="B50" s="3">
        <f>Revenus!E50</f>
        <v>496314</v>
      </c>
      <c r="C50" s="3">
        <f>Charges!J50</f>
        <v>32100</v>
      </c>
      <c r="D50" s="3">
        <f>Leasing!D50</f>
        <v>10175.634597147688</v>
      </c>
      <c r="E50" s="3">
        <f>Leasing!C50</f>
        <v>46170.834473596595</v>
      </c>
      <c r="F50" s="3">
        <f t="shared" si="0"/>
        <v>407867.53092925571</v>
      </c>
    </row>
    <row r="51" spans="1:6" x14ac:dyDescent="0.25">
      <c r="A51">
        <v>50</v>
      </c>
      <c r="B51" s="3">
        <f>Revenus!E51</f>
        <v>496314</v>
      </c>
      <c r="C51" s="3">
        <f>Charges!J51</f>
        <v>32100</v>
      </c>
      <c r="D51" s="3">
        <f>Leasing!D51</f>
        <v>9790.8776432010472</v>
      </c>
      <c r="E51" s="3">
        <f>Leasing!C51</f>
        <v>46555.59142754323</v>
      </c>
      <c r="F51" s="3">
        <f t="shared" si="0"/>
        <v>407867.53092925576</v>
      </c>
    </row>
    <row r="52" spans="1:6" x14ac:dyDescent="0.25">
      <c r="A52">
        <v>51</v>
      </c>
      <c r="B52" s="3">
        <f>Revenus!E52</f>
        <v>496314</v>
      </c>
      <c r="C52" s="3">
        <f>Charges!J52</f>
        <v>81100</v>
      </c>
      <c r="D52" s="3">
        <f>Leasing!D52</f>
        <v>9402.914381304854</v>
      </c>
      <c r="E52" s="3">
        <f>Leasing!C52</f>
        <v>46943.554689439421</v>
      </c>
      <c r="F52" s="3">
        <f t="shared" si="0"/>
        <v>358867.53092925571</v>
      </c>
    </row>
    <row r="53" spans="1:6" x14ac:dyDescent="0.25">
      <c r="A53">
        <v>52</v>
      </c>
      <c r="B53" s="3">
        <f>Revenus!E53</f>
        <v>534492</v>
      </c>
      <c r="C53" s="3">
        <f>Charges!J53</f>
        <v>33500</v>
      </c>
      <c r="D53" s="3">
        <f>Leasing!D53</f>
        <v>9011.7180922261923</v>
      </c>
      <c r="E53" s="3">
        <f>Leasing!C53</f>
        <v>47334.750978518088</v>
      </c>
      <c r="F53" s="3">
        <f t="shared" si="0"/>
        <v>444645.53092925571</v>
      </c>
    </row>
    <row r="54" spans="1:6" x14ac:dyDescent="0.25">
      <c r="A54">
        <v>53</v>
      </c>
      <c r="B54" s="3">
        <f>Revenus!E54</f>
        <v>534492</v>
      </c>
      <c r="C54" s="3">
        <f>Charges!J54</f>
        <v>33500</v>
      </c>
      <c r="D54" s="3">
        <f>Leasing!D54</f>
        <v>8617.2618340718745</v>
      </c>
      <c r="E54" s="3">
        <f>Leasing!C54</f>
        <v>47729.207236672402</v>
      </c>
      <c r="F54" s="3">
        <f t="shared" si="0"/>
        <v>444645.53092925571</v>
      </c>
    </row>
    <row r="55" spans="1:6" x14ac:dyDescent="0.25">
      <c r="A55">
        <v>54</v>
      </c>
      <c r="B55" s="3">
        <f>Revenus!E55</f>
        <v>534492</v>
      </c>
      <c r="C55" s="3">
        <f>Charges!J55</f>
        <v>33500</v>
      </c>
      <c r="D55" s="3">
        <f>Leasing!D55</f>
        <v>8219.5184404329393</v>
      </c>
      <c r="E55" s="3">
        <f>Leasing!C55</f>
        <v>48126.950630311338</v>
      </c>
      <c r="F55" s="3">
        <f t="shared" si="0"/>
        <v>444645.53092925571</v>
      </c>
    </row>
    <row r="56" spans="1:6" x14ac:dyDescent="0.25">
      <c r="A56">
        <v>55</v>
      </c>
      <c r="B56" s="3">
        <f>Revenus!E56</f>
        <v>534492</v>
      </c>
      <c r="C56" s="3">
        <f>Charges!J56</f>
        <v>33500</v>
      </c>
      <c r="D56" s="3">
        <f>Leasing!D56</f>
        <v>7818.460518513677</v>
      </c>
      <c r="E56" s="3">
        <f>Leasing!C56</f>
        <v>48528.008552230604</v>
      </c>
      <c r="F56" s="3">
        <f t="shared" si="0"/>
        <v>444645.53092925571</v>
      </c>
    </row>
    <row r="57" spans="1:6" x14ac:dyDescent="0.25">
      <c r="A57">
        <v>56</v>
      </c>
      <c r="B57" s="3">
        <f>Revenus!E57</f>
        <v>534492</v>
      </c>
      <c r="C57" s="3">
        <f>Charges!J57</f>
        <v>33500</v>
      </c>
      <c r="D57" s="3">
        <f>Leasing!D57</f>
        <v>7414.0604472450896</v>
      </c>
      <c r="E57" s="3">
        <f>Leasing!C57</f>
        <v>48932.408623499192</v>
      </c>
      <c r="F57" s="3">
        <f t="shared" si="0"/>
        <v>444645.53092925571</v>
      </c>
    </row>
    <row r="58" spans="1:6" x14ac:dyDescent="0.25">
      <c r="A58">
        <v>57</v>
      </c>
      <c r="B58" s="3">
        <f>Revenus!E58</f>
        <v>534492</v>
      </c>
      <c r="C58" s="3">
        <f>Charges!J58</f>
        <v>33500</v>
      </c>
      <c r="D58" s="3">
        <f>Leasing!D58</f>
        <v>7006.2903753825958</v>
      </c>
      <c r="E58" s="3">
        <f>Leasing!C58</f>
        <v>49340.178695361683</v>
      </c>
      <c r="F58" s="3">
        <f t="shared" si="0"/>
        <v>444645.53092925576</v>
      </c>
    </row>
    <row r="59" spans="1:6" x14ac:dyDescent="0.25">
      <c r="A59">
        <v>58</v>
      </c>
      <c r="B59" s="3">
        <f>Revenus!E59</f>
        <v>534492</v>
      </c>
      <c r="C59" s="3">
        <f>Charges!J59</f>
        <v>33500</v>
      </c>
      <c r="D59" s="3">
        <f>Leasing!D59</f>
        <v>6595.1222195879145</v>
      </c>
      <c r="E59" s="3">
        <f>Leasing!C59</f>
        <v>49751.346851156362</v>
      </c>
      <c r="F59" s="3">
        <f t="shared" si="0"/>
        <v>444645.53092925571</v>
      </c>
    </row>
    <row r="60" spans="1:6" x14ac:dyDescent="0.25">
      <c r="A60">
        <v>59</v>
      </c>
      <c r="B60" s="3">
        <f>Revenus!E60</f>
        <v>534492</v>
      </c>
      <c r="C60" s="3">
        <f>Charges!J60</f>
        <v>33500</v>
      </c>
      <c r="D60" s="3">
        <f>Leasing!D60</f>
        <v>6180.5276624949456</v>
      </c>
      <c r="E60" s="3">
        <f>Leasing!C60</f>
        <v>50165.941408249331</v>
      </c>
      <c r="F60" s="3">
        <f t="shared" si="0"/>
        <v>444645.53092925576</v>
      </c>
    </row>
    <row r="61" spans="1:6" x14ac:dyDescent="0.25">
      <c r="A61">
        <v>60</v>
      </c>
      <c r="B61" s="3">
        <f>Revenus!E61</f>
        <v>534492</v>
      </c>
      <c r="C61" s="3">
        <f>Charges!J61</f>
        <v>133500</v>
      </c>
      <c r="D61" s="3">
        <f>Leasing!D61</f>
        <v>5762.4781507595344</v>
      </c>
      <c r="E61" s="3">
        <f>Leasing!C61</f>
        <v>50583.990919984746</v>
      </c>
      <c r="F61" s="3">
        <f t="shared" si="0"/>
        <v>344645.53092925571</v>
      </c>
    </row>
    <row r="62" spans="1:6" x14ac:dyDescent="0.25">
      <c r="A62">
        <v>61</v>
      </c>
      <c r="B62" s="3">
        <f>Revenus!E62</f>
        <v>534492</v>
      </c>
      <c r="C62" s="3">
        <f>Charges!J62</f>
        <v>33500</v>
      </c>
      <c r="D62" s="3">
        <f>Leasing!D62</f>
        <v>5340.9448930929948</v>
      </c>
      <c r="E62" s="3">
        <f>Leasing!C62</f>
        <v>51005.524177651285</v>
      </c>
      <c r="F62" s="3">
        <f t="shared" si="0"/>
        <v>444645.53092925571</v>
      </c>
    </row>
    <row r="63" spans="1:6" x14ac:dyDescent="0.25">
      <c r="A63">
        <v>62</v>
      </c>
      <c r="B63" s="3">
        <f>Revenus!E63</f>
        <v>534492</v>
      </c>
      <c r="C63" s="3">
        <f>Charges!J63</f>
        <v>33500</v>
      </c>
      <c r="D63" s="3">
        <f>Leasing!D63</f>
        <v>4915.8988582792344</v>
      </c>
      <c r="E63" s="3">
        <f>Leasing!C63</f>
        <v>51430.570212465042</v>
      </c>
      <c r="F63" s="3">
        <f t="shared" si="0"/>
        <v>444645.53092925576</v>
      </c>
    </row>
    <row r="64" spans="1:6" x14ac:dyDescent="0.25">
      <c r="A64">
        <v>63</v>
      </c>
      <c r="B64" s="3">
        <f>Revenus!E64</f>
        <v>534492</v>
      </c>
      <c r="C64" s="3">
        <f>Charges!J64</f>
        <v>33500</v>
      </c>
      <c r="D64" s="3">
        <f>Leasing!D64</f>
        <v>4487.3107731753589</v>
      </c>
      <c r="E64" s="3">
        <f>Leasing!C64</f>
        <v>51859.158297568923</v>
      </c>
      <c r="F64" s="3">
        <f t="shared" si="0"/>
        <v>444645.53092925571</v>
      </c>
    </row>
    <row r="65" spans="1:6" x14ac:dyDescent="0.25">
      <c r="A65">
        <v>64</v>
      </c>
      <c r="B65" s="3">
        <f>Revenus!E65</f>
        <v>534492</v>
      </c>
      <c r="C65" s="3">
        <f>Charges!J65</f>
        <v>33500</v>
      </c>
      <c r="D65" s="3">
        <f>Leasing!D65</f>
        <v>4055.1511206956184</v>
      </c>
      <c r="E65" s="3">
        <f>Leasing!C65</f>
        <v>52291.317950048659</v>
      </c>
      <c r="F65" s="3">
        <f t="shared" si="0"/>
        <v>444645.53092925571</v>
      </c>
    </row>
    <row r="66" spans="1:6" x14ac:dyDescent="0.25">
      <c r="A66">
        <v>65</v>
      </c>
      <c r="B66" s="3">
        <f>Revenus!E66</f>
        <v>534492</v>
      </c>
      <c r="C66" s="3">
        <f>Charges!J66</f>
        <v>33500</v>
      </c>
      <c r="D66" s="3">
        <f>Leasing!D66</f>
        <v>3619.390137778546</v>
      </c>
      <c r="E66" s="3">
        <f>Leasing!C66</f>
        <v>52727.078932965735</v>
      </c>
      <c r="F66" s="3">
        <f t="shared" si="0"/>
        <v>444645.53092925571</v>
      </c>
    </row>
    <row r="67" spans="1:6" x14ac:dyDescent="0.25">
      <c r="A67">
        <v>66</v>
      </c>
      <c r="B67" s="3">
        <f>Revenus!E67</f>
        <v>534492</v>
      </c>
      <c r="C67" s="3">
        <f>Charges!J67</f>
        <v>33500</v>
      </c>
      <c r="D67" s="3">
        <f>Leasing!D67</f>
        <v>3179.9978133371646</v>
      </c>
      <c r="E67" s="3">
        <f>Leasing!C67</f>
        <v>53166.471257407116</v>
      </c>
      <c r="F67" s="3">
        <f t="shared" ref="F67:F73" si="1">B67-C67-D67-E67</f>
        <v>444645.53092925571</v>
      </c>
    </row>
    <row r="68" spans="1:6" x14ac:dyDescent="0.25">
      <c r="A68">
        <v>67</v>
      </c>
      <c r="B68" s="3">
        <f>Revenus!E68</f>
        <v>534492</v>
      </c>
      <c r="C68" s="3">
        <f>Charges!J68</f>
        <v>33500</v>
      </c>
      <c r="D68" s="3">
        <f>Leasing!D68</f>
        <v>2736.9438861921058</v>
      </c>
      <c r="E68" s="3">
        <f>Leasing!C68</f>
        <v>53609.525184552171</v>
      </c>
      <c r="F68" s="3">
        <f t="shared" si="1"/>
        <v>444645.53092925571</v>
      </c>
    </row>
    <row r="69" spans="1:6" x14ac:dyDescent="0.25">
      <c r="A69">
        <v>68</v>
      </c>
      <c r="B69" s="3">
        <f>Revenus!E69</f>
        <v>534492</v>
      </c>
      <c r="C69" s="3">
        <f>Charges!J69</f>
        <v>33500</v>
      </c>
      <c r="D69" s="3">
        <f>Leasing!D69</f>
        <v>2290.1978429875039</v>
      </c>
      <c r="E69" s="3">
        <f>Leasing!C69</f>
        <v>54056.271227756777</v>
      </c>
      <c r="F69" s="3">
        <f t="shared" si="1"/>
        <v>444645.53092925576</v>
      </c>
    </row>
    <row r="70" spans="1:6" x14ac:dyDescent="0.25">
      <c r="A70">
        <v>69</v>
      </c>
      <c r="B70" s="3">
        <f>Revenus!E70</f>
        <v>534492</v>
      </c>
      <c r="C70" s="3">
        <f>Charges!J70</f>
        <v>33500</v>
      </c>
      <c r="D70" s="3">
        <f>Leasing!D70</f>
        <v>1839.7289160895309</v>
      </c>
      <c r="E70" s="3">
        <f>Leasing!C70</f>
        <v>54506.740154654748</v>
      </c>
      <c r="F70" s="3">
        <f t="shared" si="1"/>
        <v>444645.53092925576</v>
      </c>
    </row>
    <row r="71" spans="1:6" x14ac:dyDescent="0.25">
      <c r="A71">
        <v>70</v>
      </c>
      <c r="B71" s="3">
        <f>Revenus!E71</f>
        <v>534492</v>
      </c>
      <c r="C71" s="3">
        <f>Charges!J71</f>
        <v>33500</v>
      </c>
      <c r="D71" s="3">
        <f>Leasing!D71</f>
        <v>1385.506081467408</v>
      </c>
      <c r="E71" s="3">
        <f>Leasing!C71</f>
        <v>54960.962989276872</v>
      </c>
      <c r="F71" s="3">
        <f t="shared" si="1"/>
        <v>444645.53092925571</v>
      </c>
    </row>
    <row r="72" spans="1:6" x14ac:dyDescent="0.25">
      <c r="A72">
        <v>71</v>
      </c>
      <c r="B72" s="3">
        <f>Revenus!E72</f>
        <v>534492</v>
      </c>
      <c r="C72" s="3">
        <f>Charges!J72</f>
        <v>33500</v>
      </c>
      <c r="D72" s="3">
        <f>Leasing!D72</f>
        <v>927.49805655676744</v>
      </c>
      <c r="E72" s="3">
        <f>Leasing!C72</f>
        <v>55418.971014187511</v>
      </c>
      <c r="F72" s="3">
        <f t="shared" si="1"/>
        <v>444645.53092925576</v>
      </c>
    </row>
    <row r="73" spans="1:6" x14ac:dyDescent="0.25">
      <c r="A73">
        <v>72</v>
      </c>
      <c r="B73" s="3">
        <f>Revenus!E73</f>
        <v>534492</v>
      </c>
      <c r="C73" s="3">
        <f>Charges!J73</f>
        <v>133500</v>
      </c>
      <c r="D73" s="3">
        <f>Leasing!D73</f>
        <v>465.67329810520482</v>
      </c>
      <c r="E73" s="3">
        <f>Leasing!C73</f>
        <v>55880.795772639074</v>
      </c>
      <c r="F73" s="3">
        <f t="shared" si="1"/>
        <v>344645.53092925576</v>
      </c>
    </row>
    <row r="74" spans="1:6" x14ac:dyDescent="0.25">
      <c r="A74">
        <v>73</v>
      </c>
      <c r="B74" s="3">
        <f>Revenus!E74</f>
        <v>534492</v>
      </c>
      <c r="C74" s="3">
        <f>Charges!J74</f>
        <v>33500</v>
      </c>
    </row>
    <row r="75" spans="1:6" x14ac:dyDescent="0.25">
      <c r="A75">
        <v>74</v>
      </c>
      <c r="B75" s="3">
        <f>Revenus!E75</f>
        <v>534492</v>
      </c>
      <c r="C75" s="3">
        <f>Charges!J75</f>
        <v>33500</v>
      </c>
    </row>
    <row r="76" spans="1:6" x14ac:dyDescent="0.25">
      <c r="A76">
        <v>75</v>
      </c>
      <c r="B76" s="3">
        <f>Revenus!E76</f>
        <v>534492</v>
      </c>
      <c r="C76" s="3">
        <f>Charges!J76</f>
        <v>33500</v>
      </c>
    </row>
    <row r="77" spans="1:6" x14ac:dyDescent="0.25">
      <c r="A77">
        <v>76</v>
      </c>
      <c r="B77" s="3">
        <f>Revenus!E77</f>
        <v>534492</v>
      </c>
      <c r="C77" s="3">
        <f>Charges!J77</f>
        <v>33500</v>
      </c>
    </row>
    <row r="78" spans="1:6" x14ac:dyDescent="0.25">
      <c r="A78">
        <v>77</v>
      </c>
      <c r="B78" s="3">
        <f>Revenus!E78</f>
        <v>534492</v>
      </c>
      <c r="C78" s="3">
        <f>Charges!J78</f>
        <v>33500</v>
      </c>
    </row>
    <row r="79" spans="1:6" x14ac:dyDescent="0.25">
      <c r="A79">
        <v>78</v>
      </c>
      <c r="B79" s="3">
        <f>Revenus!E79</f>
        <v>534492</v>
      </c>
      <c r="C79" s="3">
        <f>Charges!J79</f>
        <v>33500</v>
      </c>
    </row>
    <row r="80" spans="1:6" x14ac:dyDescent="0.25">
      <c r="A80">
        <v>79</v>
      </c>
      <c r="B80" s="3">
        <f>Revenus!E80</f>
        <v>534492</v>
      </c>
      <c r="C80" s="3">
        <f>Charges!J80</f>
        <v>33500</v>
      </c>
    </row>
    <row r="81" spans="1:3" x14ac:dyDescent="0.25">
      <c r="A81">
        <v>80</v>
      </c>
      <c r="B81" s="3">
        <f>Revenus!E81</f>
        <v>534492</v>
      </c>
      <c r="C81" s="3">
        <f>Charges!J81</f>
        <v>33500</v>
      </c>
    </row>
    <row r="82" spans="1:3" x14ac:dyDescent="0.25">
      <c r="A82">
        <v>81</v>
      </c>
      <c r="B82" s="3">
        <f>Revenus!E82</f>
        <v>534492</v>
      </c>
      <c r="C82" s="3">
        <f>Charges!J82</f>
        <v>33500</v>
      </c>
    </row>
    <row r="83" spans="1:3" x14ac:dyDescent="0.25">
      <c r="A83">
        <v>82</v>
      </c>
      <c r="B83" s="3">
        <f>Revenus!E83</f>
        <v>534492</v>
      </c>
      <c r="C83" s="3">
        <f>Charges!J83</f>
        <v>33500</v>
      </c>
    </row>
    <row r="84" spans="1:3" x14ac:dyDescent="0.25">
      <c r="A84">
        <v>83</v>
      </c>
      <c r="B84" s="3">
        <f>Revenus!E84</f>
        <v>534492</v>
      </c>
      <c r="C84" s="3">
        <f>Charges!J84</f>
        <v>33500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17" sqref="F17"/>
    </sheetView>
  </sheetViews>
  <sheetFormatPr baseColWidth="10" defaultColWidth="8.85546875" defaultRowHeight="15" x14ac:dyDescent="0.25"/>
  <cols>
    <col min="1" max="1" width="6.85546875" bestFit="1" customWidth="1"/>
    <col min="2" max="2" width="15.28515625" style="3" bestFit="1" customWidth="1"/>
    <col min="3" max="3" width="27.42578125" style="3" bestFit="1" customWidth="1"/>
    <col min="4" max="4" width="18.5703125" style="3" bestFit="1" customWidth="1"/>
  </cols>
  <sheetData>
    <row r="1" spans="1:4" x14ac:dyDescent="0.25">
      <c r="A1" s="1" t="s">
        <v>36</v>
      </c>
      <c r="B1" s="2" t="s">
        <v>37</v>
      </c>
      <c r="C1" s="2" t="s">
        <v>38</v>
      </c>
      <c r="D1" s="2" t="s">
        <v>39</v>
      </c>
    </row>
    <row r="2" spans="1:4" x14ac:dyDescent="0.25">
      <c r="A2">
        <v>1</v>
      </c>
      <c r="B2" s="3">
        <v>954450</v>
      </c>
      <c r="C2" s="3">
        <v>465596.76</v>
      </c>
      <c r="D2" s="3">
        <v>488853.24</v>
      </c>
    </row>
    <row r="3" spans="1:4" x14ac:dyDescent="0.25">
      <c r="A3">
        <v>2</v>
      </c>
      <c r="B3" s="3">
        <v>2290680</v>
      </c>
      <c r="C3" s="3">
        <v>954541.64</v>
      </c>
      <c r="D3" s="3">
        <v>1336138.3600000001</v>
      </c>
    </row>
    <row r="4" spans="1:4" x14ac:dyDescent="0.25">
      <c r="A4">
        <v>3</v>
      </c>
      <c r="B4" s="3">
        <v>2290680</v>
      </c>
      <c r="C4" s="3">
        <v>863537.61</v>
      </c>
      <c r="D4" s="3">
        <v>1427142.39</v>
      </c>
    </row>
    <row r="5" spans="1:4" x14ac:dyDescent="0.25">
      <c r="A5">
        <v>4</v>
      </c>
      <c r="B5" s="3">
        <v>2290680</v>
      </c>
      <c r="C5" s="3">
        <v>785676.2</v>
      </c>
      <c r="D5" s="3">
        <v>1505003.8</v>
      </c>
    </row>
    <row r="6" spans="1:4" x14ac:dyDescent="0.25">
      <c r="A6">
        <v>5</v>
      </c>
      <c r="B6" s="3">
        <v>2290680</v>
      </c>
      <c r="C6" s="3">
        <v>719059.42</v>
      </c>
      <c r="D6" s="3">
        <v>1571620.58</v>
      </c>
    </row>
    <row r="7" spans="1:4" x14ac:dyDescent="0.25">
      <c r="A7">
        <v>6</v>
      </c>
      <c r="B7" s="3">
        <v>2290680</v>
      </c>
      <c r="C7" s="3">
        <v>662063.37</v>
      </c>
      <c r="D7" s="3">
        <v>1628616.63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Hypothèses</vt:lpstr>
      <vt:lpstr>Revenus</vt:lpstr>
      <vt:lpstr>Charges</vt:lpstr>
      <vt:lpstr>Leasing (2)</vt:lpstr>
      <vt:lpstr>Cash-Flow</vt:lpstr>
      <vt:lpstr>Leasing</vt:lpstr>
      <vt:lpstr>Résultats</vt:lpstr>
      <vt:lpstr>Synthèse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2025-08-20T12:56:41Z</dcterms:created>
  <dcterms:modified xsi:type="dcterms:W3CDTF">2025-10-15T12:43:33Z</dcterms:modified>
</cp:coreProperties>
</file>